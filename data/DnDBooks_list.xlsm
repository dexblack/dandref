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dev\work\dandref\data\"/>
    </mc:Choice>
  </mc:AlternateContent>
  <xr:revisionPtr revIDLastSave="0" documentId="13_ncr:1_{39746F32-878D-49CB-A70E-3A7716E2B5D9}" xr6:coauthVersionLast="47" xr6:coauthVersionMax="47" xr10:uidLastSave="{00000000-0000-0000-0000-000000000000}"/>
  <bookViews>
    <workbookView xWindow="-120" yWindow="-120" windowWidth="29040" windowHeight="15840" xr2:uid="{81080C43-7C25-48EB-BE2B-9E4CEE6CE2B8}"/>
  </bookViews>
  <sheets>
    <sheet name="Records" sheetId="1" r:id="rId1"/>
    <sheet name="Categories" sheetId="2" r:id="rId2"/>
    <sheet name="LookupCategory" sheetId="4" r:id="rId3"/>
  </sheets>
  <functionGroups builtInGroupCount="19"/>
  <definedNames>
    <definedName name="Category">LookupCategory!$C$2:$C$33</definedName>
    <definedName name="Content" comment="Content types included in a title">Categories!$A$15:$A$26</definedName>
    <definedName name="Name">LookupCategory!$B$2:$B$33</definedName>
    <definedName name="Publisher" comment="A list of valid publishers">Categories!$A$30:$A$51</definedName>
    <definedName name="Types" comment="Type of content">Categories!$A$2:$A$11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 a="1"/>
  <c r="F5" i="1" a="1"/>
  <c r="F7" i="1" a="1"/>
  <c r="F9" i="1" a="1"/>
  <c r="F11" i="1" a="1"/>
  <c r="F13" i="1" a="1"/>
  <c r="F15" i="1" a="1"/>
  <c r="F17" i="1" a="1"/>
  <c r="F19" i="1" a="1"/>
  <c r="F21" i="1" a="1"/>
  <c r="F23" i="1" a="1"/>
  <c r="F25" i="1" a="1"/>
  <c r="F27" i="1" a="1"/>
  <c r="F29" i="1" a="1"/>
  <c r="F31" i="1" a="1"/>
  <c r="J13" i="1" a="1"/>
  <c r="J25" i="1" a="1"/>
  <c r="F28" i="1" a="1"/>
  <c r="G10" i="1" a="1"/>
  <c r="G22" i="1" a="1"/>
  <c r="H20" i="1" a="1"/>
  <c r="I26" i="1" a="1"/>
  <c r="K26" i="1" a="1"/>
  <c r="I8" i="1" a="1"/>
  <c r="J32" i="1" a="1"/>
  <c r="L10" i="1" a="1"/>
  <c r="G3" i="1" a="1"/>
  <c r="G5" i="1" a="1"/>
  <c r="G7" i="1" a="1"/>
  <c r="G9" i="1" a="1"/>
  <c r="G11" i="1" a="1"/>
  <c r="G13" i="1" a="1"/>
  <c r="G15" i="1" a="1"/>
  <c r="G17" i="1" a="1"/>
  <c r="G19" i="1" a="1"/>
  <c r="G21" i="1" a="1"/>
  <c r="G23" i="1" a="1"/>
  <c r="G25" i="1" a="1"/>
  <c r="G27" i="1" a="1"/>
  <c r="G29" i="1" a="1"/>
  <c r="G31" i="1" a="1"/>
  <c r="I7" i="1" a="1"/>
  <c r="I11" i="1" a="1"/>
  <c r="I13" i="1" a="1"/>
  <c r="I15" i="1" a="1"/>
  <c r="I17" i="1" a="1"/>
  <c r="I19" i="1" a="1"/>
  <c r="I21" i="1" a="1"/>
  <c r="I23" i="1" a="1"/>
  <c r="I29" i="1" a="1"/>
  <c r="I31" i="1" a="1"/>
  <c r="J5" i="1" a="1"/>
  <c r="F26" i="1" a="1"/>
  <c r="G16" i="1" a="1"/>
  <c r="G30" i="1" a="1"/>
  <c r="H8" i="1" a="1"/>
  <c r="J14" i="1" a="1"/>
  <c r="K22" i="1" a="1"/>
  <c r="K30" i="1" a="1"/>
  <c r="I5" i="1" a="1"/>
  <c r="J17" i="1" a="1"/>
  <c r="J31" i="1" a="1"/>
  <c r="G8" i="1" a="1"/>
  <c r="H28" i="1" a="1"/>
  <c r="I14" i="1" a="1"/>
  <c r="J10" i="1" a="1"/>
  <c r="K8" i="1" a="1"/>
  <c r="L26" i="1" a="1"/>
  <c r="H3" i="1" a="1"/>
  <c r="H5" i="1" a="1"/>
  <c r="H7" i="1" a="1"/>
  <c r="H9" i="1" a="1"/>
  <c r="H11" i="1" a="1"/>
  <c r="H13" i="1" a="1"/>
  <c r="H15" i="1" a="1"/>
  <c r="H17" i="1" a="1"/>
  <c r="H19" i="1" a="1"/>
  <c r="H21" i="1" a="1"/>
  <c r="H23" i="1" a="1"/>
  <c r="H25" i="1" a="1"/>
  <c r="H27" i="1" a="1"/>
  <c r="H29" i="1" a="1"/>
  <c r="H31" i="1" a="1"/>
  <c r="I9" i="1" a="1"/>
  <c r="I25" i="1" a="1"/>
  <c r="J7" i="1" a="1"/>
  <c r="J23" i="1" a="1"/>
  <c r="G12" i="1" a="1"/>
  <c r="H22" i="1" a="1"/>
  <c r="I18" i="1" a="1"/>
  <c r="J20" i="1" a="1"/>
  <c r="K20" i="1" a="1"/>
  <c r="K28" i="1" a="1"/>
  <c r="I3" i="1" a="1"/>
  <c r="I27" i="1" a="1"/>
  <c r="J9" i="1" a="1"/>
  <c r="J19" i="1" a="1"/>
  <c r="J27" i="1" a="1"/>
  <c r="H18" i="1" a="1"/>
  <c r="I24" i="1" a="1"/>
  <c r="J22" i="1" a="1"/>
  <c r="K18" i="1" a="1"/>
  <c r="L20" i="1" a="1"/>
  <c r="L32" i="1" a="1"/>
  <c r="J3" i="1" a="1"/>
  <c r="J11" i="1" a="1"/>
  <c r="J15" i="1" a="1"/>
  <c r="J21" i="1" a="1"/>
  <c r="J29" i="1" a="1"/>
  <c r="G26" i="1" a="1"/>
  <c r="H12" i="1" a="1"/>
  <c r="J26" i="1" a="1"/>
  <c r="L28" i="1" a="1"/>
  <c r="K3" i="1" a="1"/>
  <c r="K5" i="1" a="1"/>
  <c r="K7" i="1" a="1"/>
  <c r="K9" i="1" a="1"/>
  <c r="K11" i="1" a="1"/>
  <c r="K13" i="1" a="1"/>
  <c r="K15" i="1" a="1"/>
  <c r="K17" i="1" a="1"/>
  <c r="K19" i="1" a="1"/>
  <c r="K21" i="1" a="1"/>
  <c r="K23" i="1" a="1"/>
  <c r="K25" i="1" a="1"/>
  <c r="K27" i="1" a="1"/>
  <c r="K29" i="1" a="1"/>
  <c r="K31" i="1" a="1"/>
  <c r="L23" i="1" a="1"/>
  <c r="L29" i="1" a="1"/>
  <c r="F18" i="1" a="1"/>
  <c r="F32" i="1" a="1"/>
  <c r="G24" i="1" a="1"/>
  <c r="H14" i="1" a="1"/>
  <c r="J24" i="1" a="1"/>
  <c r="L11" i="1" a="1"/>
  <c r="L31" i="1" a="1"/>
  <c r="F30" i="1" a="1"/>
  <c r="G18" i="1" a="1"/>
  <c r="H16" i="1" a="1"/>
  <c r="H24" i="1" a="1"/>
  <c r="I20" i="1" a="1"/>
  <c r="I30" i="1" a="1"/>
  <c r="J18" i="1" a="1"/>
  <c r="K24" i="1" a="1"/>
  <c r="K32" i="1" a="1"/>
  <c r="L3" i="1" a="1"/>
  <c r="L5" i="1" a="1"/>
  <c r="L7" i="1" a="1"/>
  <c r="L9" i="1" a="1"/>
  <c r="L13" i="1" a="1"/>
  <c r="L15" i="1" a="1"/>
  <c r="L17" i="1" a="1"/>
  <c r="L19" i="1" a="1"/>
  <c r="L21" i="1" a="1"/>
  <c r="L25" i="1" a="1"/>
  <c r="L27" i="1" a="1"/>
  <c r="F20" i="1" a="1"/>
  <c r="G6" i="1" a="1"/>
  <c r="G32" i="1" a="1"/>
  <c r="I10" i="1" a="1"/>
  <c r="I32" i="1" a="1"/>
  <c r="J6" i="1" a="1"/>
  <c r="K4" i="1" a="1"/>
  <c r="L22" i="1" a="1"/>
  <c r="L30" i="1" a="1"/>
  <c r="F24" i="1" a="1"/>
  <c r="G14" i="1" a="1"/>
  <c r="F4" i="1" a="1"/>
  <c r="F6" i="1" a="1"/>
  <c r="F8" i="1" a="1"/>
  <c r="F10" i="1" a="1"/>
  <c r="F12" i="1" a="1"/>
  <c r="F14" i="1" a="1"/>
  <c r="F16" i="1" a="1"/>
  <c r="F22" i="1" a="1"/>
  <c r="G20" i="1" a="1"/>
  <c r="G28" i="1" a="1"/>
  <c r="H10" i="1" a="1"/>
  <c r="J12" i="1" a="1"/>
  <c r="K12" i="1" a="1"/>
  <c r="L4" i="1" a="1"/>
  <c r="H30" i="1" a="1"/>
  <c r="J30" i="1" a="1"/>
  <c r="L6" i="1" a="1"/>
  <c r="G4" i="1" a="1"/>
  <c r="H32" i="1" a="1"/>
  <c r="I12" i="1" a="1"/>
  <c r="J28" i="1" a="1"/>
  <c r="L12" i="1" a="1"/>
  <c r="H6" i="1" a="1"/>
  <c r="H26" i="1" a="1"/>
  <c r="I16" i="1" a="1"/>
  <c r="I28" i="1" a="1"/>
  <c r="J8" i="1" a="1"/>
  <c r="K6" i="1" a="1"/>
  <c r="L24" i="1" a="1"/>
  <c r="H4" i="1" a="1"/>
  <c r="J16" i="1" a="1"/>
  <c r="K16" i="1" a="1"/>
  <c r="L8" i="1" a="1"/>
  <c r="I4" i="1" a="1"/>
  <c r="I22" i="1" a="1"/>
  <c r="J4" i="1" a="1"/>
  <c r="K10" i="1" a="1"/>
  <c r="L14" i="1" a="1"/>
  <c r="I6" i="1" a="1"/>
  <c r="K14" i="1" a="1"/>
  <c r="L16" i="1" a="1"/>
  <c r="L18" i="1" a="1"/>
  <c r="K2" i="1" a="1"/>
  <c r="L2" i="1" a="1"/>
  <c r="H2" i="1" a="1"/>
  <c r="I2" i="1" a="1"/>
  <c r="J2" i="1" a="1"/>
  <c r="G2" i="1" a="1"/>
  <c r="F2" i="1" a="1"/>
  <c r="L18" i="1" l="1"/>
  <c r="L16" i="1"/>
  <c r="K14" i="1"/>
  <c r="I6" i="1"/>
  <c r="L14" i="1"/>
  <c r="K10" i="1"/>
  <c r="J4" i="1"/>
  <c r="I22" i="1"/>
  <c r="I4" i="1"/>
  <c r="L8" i="1"/>
  <c r="K16" i="1"/>
  <c r="J16" i="1"/>
  <c r="H4" i="1"/>
  <c r="L24" i="1"/>
  <c r="K6" i="1"/>
  <c r="J8" i="1"/>
  <c r="I28" i="1"/>
  <c r="I16" i="1"/>
  <c r="H26" i="1"/>
  <c r="H6" i="1"/>
  <c r="L12" i="1"/>
  <c r="J28" i="1"/>
  <c r="I12" i="1"/>
  <c r="H32" i="1"/>
  <c r="G4" i="1"/>
  <c r="L6" i="1"/>
  <c r="J30" i="1"/>
  <c r="H30" i="1"/>
  <c r="L4" i="1"/>
  <c r="K12" i="1"/>
  <c r="J12" i="1"/>
  <c r="H10" i="1"/>
  <c r="G28" i="1"/>
  <c r="G20" i="1"/>
  <c r="F22" i="1"/>
  <c r="F16" i="1"/>
  <c r="F14" i="1"/>
  <c r="F12" i="1"/>
  <c r="F10" i="1"/>
  <c r="F8" i="1"/>
  <c r="F6" i="1"/>
  <c r="F4" i="1"/>
  <c r="G14" i="1"/>
  <c r="F24" i="1"/>
  <c r="L30" i="1"/>
  <c r="L22" i="1"/>
  <c r="K4" i="1"/>
  <c r="J6" i="1"/>
  <c r="I32" i="1"/>
  <c r="I10" i="1"/>
  <c r="G32" i="1"/>
  <c r="G6" i="1"/>
  <c r="F20" i="1"/>
  <c r="L27" i="1"/>
  <c r="L25" i="1"/>
  <c r="L21" i="1"/>
  <c r="L19" i="1"/>
  <c r="L17" i="1"/>
  <c r="L15" i="1"/>
  <c r="L13" i="1"/>
  <c r="L9" i="1"/>
  <c r="L7" i="1"/>
  <c r="L5" i="1"/>
  <c r="L3" i="1"/>
  <c r="K32" i="1"/>
  <c r="K24" i="1"/>
  <c r="J18" i="1"/>
  <c r="I30" i="1"/>
  <c r="I20" i="1"/>
  <c r="H24" i="1"/>
  <c r="H16" i="1"/>
  <c r="G18" i="1"/>
  <c r="F30" i="1"/>
  <c r="L31" i="1"/>
  <c r="L11" i="1"/>
  <c r="J24" i="1"/>
  <c r="H14" i="1"/>
  <c r="G24" i="1"/>
  <c r="F32" i="1"/>
  <c r="F18" i="1"/>
  <c r="L29" i="1"/>
  <c r="L23" i="1"/>
  <c r="K31" i="1"/>
  <c r="K29" i="1"/>
  <c r="K27" i="1"/>
  <c r="K25" i="1"/>
  <c r="K23" i="1"/>
  <c r="K21" i="1"/>
  <c r="K19" i="1"/>
  <c r="K17" i="1"/>
  <c r="K15" i="1"/>
  <c r="K13" i="1"/>
  <c r="K11" i="1"/>
  <c r="K9" i="1"/>
  <c r="K7" i="1"/>
  <c r="K5" i="1"/>
  <c r="K3" i="1"/>
  <c r="L28" i="1"/>
  <c r="J26" i="1"/>
  <c r="H12" i="1"/>
  <c r="G26" i="1"/>
  <c r="J29" i="1"/>
  <c r="J21" i="1"/>
  <c r="J15" i="1"/>
  <c r="J11" i="1"/>
  <c r="J3" i="1"/>
  <c r="L32" i="1"/>
  <c r="L20" i="1"/>
  <c r="K18" i="1"/>
  <c r="J22" i="1"/>
  <c r="I24" i="1"/>
  <c r="H18" i="1"/>
  <c r="J27" i="1"/>
  <c r="J19" i="1"/>
  <c r="J9" i="1"/>
  <c r="I27" i="1"/>
  <c r="I3" i="1"/>
  <c r="K28" i="1"/>
  <c r="K20" i="1"/>
  <c r="J20" i="1"/>
  <c r="I18" i="1"/>
  <c r="H22" i="1"/>
  <c r="G12" i="1"/>
  <c r="J23" i="1"/>
  <c r="J7" i="1"/>
  <c r="I25" i="1"/>
  <c r="I9" i="1"/>
  <c r="H31" i="1"/>
  <c r="H29" i="1"/>
  <c r="H27" i="1"/>
  <c r="H25" i="1"/>
  <c r="H23" i="1"/>
  <c r="H21" i="1"/>
  <c r="H19" i="1"/>
  <c r="H17" i="1"/>
  <c r="H15" i="1"/>
  <c r="H13" i="1"/>
  <c r="H11" i="1"/>
  <c r="H9" i="1"/>
  <c r="H7" i="1"/>
  <c r="H5" i="1"/>
  <c r="H3" i="1"/>
  <c r="L26" i="1"/>
  <c r="K8" i="1"/>
  <c r="J10" i="1"/>
  <c r="I14" i="1"/>
  <c r="H28" i="1"/>
  <c r="G8" i="1"/>
  <c r="J31" i="1"/>
  <c r="J17" i="1"/>
  <c r="I5" i="1"/>
  <c r="K30" i="1"/>
  <c r="K22" i="1"/>
  <c r="J14" i="1"/>
  <c r="H8" i="1"/>
  <c r="G30" i="1"/>
  <c r="G16" i="1"/>
  <c r="F26" i="1"/>
  <c r="J5" i="1"/>
  <c r="I31" i="1"/>
  <c r="I29" i="1"/>
  <c r="I23" i="1"/>
  <c r="I21" i="1"/>
  <c r="I19" i="1"/>
  <c r="I17" i="1"/>
  <c r="I15" i="1"/>
  <c r="I13" i="1"/>
  <c r="I11" i="1"/>
  <c r="I7" i="1"/>
  <c r="G31" i="1"/>
  <c r="G29" i="1"/>
  <c r="G27" i="1"/>
  <c r="G25" i="1"/>
  <c r="G23" i="1"/>
  <c r="G21" i="1"/>
  <c r="G19" i="1"/>
  <c r="G17" i="1"/>
  <c r="G15" i="1"/>
  <c r="G13" i="1"/>
  <c r="G11" i="1"/>
  <c r="G9" i="1"/>
  <c r="G7" i="1"/>
  <c r="G5" i="1"/>
  <c r="G3" i="1"/>
  <c r="L10" i="1"/>
  <c r="J32" i="1"/>
  <c r="I8" i="1"/>
  <c r="K26" i="1"/>
  <c r="I26" i="1"/>
  <c r="H20" i="1"/>
  <c r="G22" i="1"/>
  <c r="G10" i="1"/>
  <c r="F28" i="1"/>
  <c r="J25" i="1"/>
  <c r="J13" i="1"/>
  <c r="F31" i="1"/>
  <c r="F29" i="1"/>
  <c r="F27" i="1"/>
  <c r="F25" i="1"/>
  <c r="F23" i="1"/>
  <c r="F21" i="1"/>
  <c r="F19" i="1"/>
  <c r="F17" i="1"/>
  <c r="F15" i="1"/>
  <c r="F13" i="1"/>
  <c r="F11" i="1"/>
  <c r="F9" i="1"/>
  <c r="F7" i="1"/>
  <c r="F5" i="1"/>
  <c r="F3" i="1"/>
  <c r="G2" i="1"/>
  <c r="J2" i="1"/>
  <c r="I2" i="1"/>
  <c r="H2" i="1"/>
  <c r="L2" i="1"/>
  <c r="K2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tc={55B075F8-1C57-4190-8595-1E9C73AAAA1F}</author>
  </authors>
  <commentList>
    <comment ref="G1" authorId="0" shapeId="0" xr:uid="{55B075F8-1C57-4190-8595-1E9C73AAAA1F}">
      <text>
        <t>[Threaded comment]
Your version of Excel allows you to read this threaded comment; however, any edits to it will get removed if the file is opened in a newer version of Excel. Learn more: https://go.microsoft.com/fwlink/?linkid=870924
Comment:
    Who, Where, What, How and Why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<sst xmlns="http://schemas.openxmlformats.org/spreadsheetml/2006/main" count="514" uniqueCount="180">
  <si>
    <t>Publisher</t>
  </si>
  <si>
    <t>Title</t>
  </si>
  <si>
    <t>Type</t>
  </si>
  <si>
    <t>Physical</t>
  </si>
  <si>
    <t>Digital</t>
  </si>
  <si>
    <t>WotC</t>
  </si>
  <si>
    <t>Tasha's Cauldron of Everything</t>
  </si>
  <si>
    <t>Expansion</t>
  </si>
  <si>
    <t>-</t>
  </si>
  <si>
    <t>Y</t>
  </si>
  <si>
    <t>Fizban's Treasury of Dragons</t>
  </si>
  <si>
    <t>Mordenkainen Presents: Monsters of the Multiverse</t>
  </si>
  <si>
    <t>Critical Role: Call of the Netherdeep</t>
  </si>
  <si>
    <t>Strixhaven: A Curriculum of Chaos</t>
  </si>
  <si>
    <t>The Wild Beyond the Witchlight</t>
  </si>
  <si>
    <t>Van Richten's Guide to Ravenloft</t>
  </si>
  <si>
    <t>Setting</t>
  </si>
  <si>
    <t>Mythic Odysseys of Theros</t>
  </si>
  <si>
    <t>Explorer's Guide to Wildemount</t>
  </si>
  <si>
    <t>Forgotten Realms Laeral Silverhand's Explorer's Kit</t>
  </si>
  <si>
    <t>ArtWork</t>
  </si>
  <si>
    <t>Wayfinder's Guide to Eberron</t>
  </si>
  <si>
    <t>Eberron: Rising from the Last War</t>
  </si>
  <si>
    <t>Acquisitions Incorporated</t>
  </si>
  <si>
    <t>Ghosts of Saltmarsh</t>
  </si>
  <si>
    <t>Adventure</t>
  </si>
  <si>
    <t>Guildmaster's Guide to Ravnica</t>
  </si>
  <si>
    <t>Mordenkainen's Tome of Foes</t>
  </si>
  <si>
    <t>Bestiary</t>
  </si>
  <si>
    <t>Xanathar's Guide to Everything</t>
  </si>
  <si>
    <t>Tales From The Yawning Portal</t>
  </si>
  <si>
    <t>Volo's Guide to Monsters</t>
  </si>
  <si>
    <t>Sword Coast Adventurer's Guide</t>
  </si>
  <si>
    <t>Players Handbook</t>
  </si>
  <si>
    <t>Core Rules</t>
  </si>
  <si>
    <t>Monster Manual</t>
  </si>
  <si>
    <t>NPCs</t>
  </si>
  <si>
    <t>Dungeon Master's Guide</t>
  </si>
  <si>
    <t>Waterdeep - Dragon Heist</t>
  </si>
  <si>
    <t>Icewind Dale - Rime of the Frostmaiden</t>
  </si>
  <si>
    <t>Candlekeep Mysteries</t>
  </si>
  <si>
    <t>Anthology</t>
  </si>
  <si>
    <t>Survivalists Guide to Spelunking</t>
  </si>
  <si>
    <t>Elemental Evil Players Companion</t>
  </si>
  <si>
    <t>One Grung Above</t>
  </si>
  <si>
    <t>The Tortle Package</t>
  </si>
  <si>
    <t>Baldur's Gate - Descent into Avernus</t>
  </si>
  <si>
    <t>Types</t>
  </si>
  <si>
    <t>Contents</t>
  </si>
  <si>
    <t>Who</t>
  </si>
  <si>
    <t>What</t>
  </si>
  <si>
    <t>Where</t>
  </si>
  <si>
    <t>How</t>
  </si>
  <si>
    <t>Why</t>
  </si>
  <si>
    <t>When</t>
  </si>
  <si>
    <t>adventure, maps, NPCs, Monsters, tables</t>
  </si>
  <si>
    <t>Cult</t>
  </si>
  <si>
    <t>Classes</t>
  </si>
  <si>
    <t>Faerun</t>
  </si>
  <si>
    <t>Rules</t>
  </si>
  <si>
    <t>Hooks</t>
  </si>
  <si>
    <t>History</t>
  </si>
  <si>
    <t>maps, races, classes, monsters, NPCs, items, tables</t>
  </si>
  <si>
    <t>Gods</t>
  </si>
  <si>
    <t>Cards</t>
  </si>
  <si>
    <t>Maps</t>
  </si>
  <si>
    <t>Spells</t>
  </si>
  <si>
    <t>Lore</t>
  </si>
  <si>
    <t>monsters</t>
  </si>
  <si>
    <t>Location</t>
  </si>
  <si>
    <t>rules, races, classes, items, tables, spells, tables</t>
  </si>
  <si>
    <t>Races</t>
  </si>
  <si>
    <t>Monsters</t>
  </si>
  <si>
    <t>Sword Coast</t>
  </si>
  <si>
    <t>Campaign</t>
  </si>
  <si>
    <t>rules, races, classes, items, monsters, NPCs, tables, spells</t>
  </si>
  <si>
    <t>Sub-races</t>
  </si>
  <si>
    <t>Items</t>
  </si>
  <si>
    <t>Waterdeep</t>
  </si>
  <si>
    <t>Map</t>
  </si>
  <si>
    <t>maps</t>
  </si>
  <si>
    <t>Patrons</t>
  </si>
  <si>
    <t>Sub-classes</t>
  </si>
  <si>
    <t>Table</t>
  </si>
  <si>
    <t>Tables</t>
  </si>
  <si>
    <t>Compendium</t>
  </si>
  <si>
    <t>items, tables</t>
  </si>
  <si>
    <t>Actor</t>
  </si>
  <si>
    <t>Game element</t>
  </si>
  <si>
    <t>Place</t>
  </si>
  <si>
    <t>Character</t>
  </si>
  <si>
    <t>Content</t>
  </si>
  <si>
    <t>Mythos</t>
  </si>
  <si>
    <t>Ruleset</t>
  </si>
  <si>
    <t>Spell</t>
  </si>
  <si>
    <t>Race</t>
  </si>
  <si>
    <t>dnd5e</t>
  </si>
  <si>
    <t>Official</t>
  </si>
  <si>
    <t>Pantheon</t>
  </si>
  <si>
    <t>Card</t>
  </si>
  <si>
    <t>Sub-race</t>
  </si>
  <si>
    <t>pf</t>
  </si>
  <si>
    <t>3rd party</t>
  </si>
  <si>
    <t>NPC</t>
  </si>
  <si>
    <t>Class</t>
  </si>
  <si>
    <t>Hook</t>
  </si>
  <si>
    <t>pf2</t>
  </si>
  <si>
    <t>Patron</t>
  </si>
  <si>
    <t>Monster</t>
  </si>
  <si>
    <t>Sub-class</t>
  </si>
  <si>
    <t>dcc</t>
  </si>
  <si>
    <t>adventure</t>
  </si>
  <si>
    <t>Faction</t>
  </si>
  <si>
    <t>Item</t>
  </si>
  <si>
    <t>Encounter</t>
  </si>
  <si>
    <t>map</t>
  </si>
  <si>
    <t>Guild</t>
  </si>
  <si>
    <t>Rule</t>
  </si>
  <si>
    <t>monster</t>
  </si>
  <si>
    <t>table</t>
  </si>
  <si>
    <t>race</t>
  </si>
  <si>
    <t>class</t>
  </si>
  <si>
    <t>sub-class</t>
  </si>
  <si>
    <t>item</t>
  </si>
  <si>
    <t>spell</t>
  </si>
  <si>
    <t>rule</t>
  </si>
  <si>
    <t>Full name</t>
  </si>
  <si>
    <t>&amp;Guild</t>
  </si>
  <si>
    <t>DMs Guild</t>
  </si>
  <si>
    <t>Chamo</t>
  </si>
  <si>
    <t>Chamomile has a Project</t>
  </si>
  <si>
    <t>CR</t>
  </si>
  <si>
    <t>Critical Role</t>
  </si>
  <si>
    <t>Crit</t>
  </si>
  <si>
    <t>Crit Academy</t>
  </si>
  <si>
    <t>CT</t>
  </si>
  <si>
    <t>Crimson Terain</t>
  </si>
  <si>
    <t>CzP</t>
  </si>
  <si>
    <t>CzePeku</t>
  </si>
  <si>
    <t>DMDave</t>
  </si>
  <si>
    <t>DM Dave</t>
  </si>
  <si>
    <t>Frog</t>
  </si>
  <si>
    <t>Frog God Games</t>
  </si>
  <si>
    <t>Griffon</t>
  </si>
  <si>
    <t>Griffon's Saddlebags</t>
  </si>
  <si>
    <t>Grim</t>
  </si>
  <si>
    <t>Grim Press</t>
  </si>
  <si>
    <t>Kobold</t>
  </si>
  <si>
    <t>Kobold Press</t>
  </si>
  <si>
    <t>Legend</t>
  </si>
  <si>
    <t>Legendary Games/Legendary Loot</t>
  </si>
  <si>
    <t>LootT</t>
  </si>
  <si>
    <t>Loot Tavern</t>
  </si>
  <si>
    <t>Mage</t>
  </si>
  <si>
    <t>Mage Hand Press</t>
  </si>
  <si>
    <t>NDH</t>
  </si>
  <si>
    <t>ND Hobbies</t>
  </si>
  <si>
    <t>Necro</t>
  </si>
  <si>
    <t>Necromancer Games</t>
  </si>
  <si>
    <t>Skirmish</t>
  </si>
  <si>
    <t>Skirmisher Game Group</t>
  </si>
  <si>
    <t>SlyF</t>
  </si>
  <si>
    <t>Sly Flourish</t>
  </si>
  <si>
    <t>TomC</t>
  </si>
  <si>
    <t>Tom Cartos</t>
  </si>
  <si>
    <t>UA</t>
  </si>
  <si>
    <t>Unearthed Arcana (WotC unofficial/test content)</t>
  </si>
  <si>
    <t>WarChief</t>
  </si>
  <si>
    <t>War Chief Gaming</t>
  </si>
  <si>
    <t>Wizards of the Coast (Official Content)</t>
  </si>
  <si>
    <t>CriticalRole</t>
  </si>
  <si>
    <t>D&amp;D-5e</t>
  </si>
  <si>
    <t>PathFinder</t>
  </si>
  <si>
    <t>PathFinder-2</t>
  </si>
  <si>
    <t>DCC</t>
  </si>
  <si>
    <t>Name</t>
  </si>
  <si>
    <t>Category</t>
  </si>
  <si>
    <t>SwordCoast</t>
  </si>
  <si>
    <t>God</t>
  </si>
  <si>
    <t>Sub-Race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</si>
</sst>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charset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ex black" id="{63E80A30-7D9D-4DCE-B500-9E63D9877399}" userId="d5c319b392cf015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" dT="2022-09-22T07:36:49.71" personId="{63E80A30-7D9D-4DCE-B500-9E63D9877399}" id="{55B075F8-1C57-4190-8595-1E9C73AAAA1F}">
    <text>Who, Where, What, How and Why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B759-4FED-4F06-AC01-72F5221DDD88}">
  <sheetPr codeName="Sheet1"/>
  <dimension ref="A1:X32"/>
  <sheetViews>
    <sheetView tabSelected="1" workbookViewId="0">
      <pane ySplit="1" topLeftCell="A2" activePane="bottomLeft" state="frozen"/>
      <selection activeCell="B1" sqref="B1"/>
      <selection pane="bottomLeft" activeCell="F1" sqref="F1:K32"/>
    </sheetView>
  </sheetViews>
  <sheetFormatPr defaultRowHeight="15" x14ac:dyDescent="0.25"/>
  <cols>
    <col min="2" max="2" width="48.42578125" bestFit="1" customWidth="1"/>
    <col min="3" max="3" width="12.5703125" customWidth="1"/>
    <col min="4" max="4" width="9.140625" style="12"/>
    <col min="5" max="5" width="6.7109375" style="12" bestFit="1" customWidth="1"/>
    <col min="6" max="6" width="15.42578125" style="12" bestFit="1" customWidth="1"/>
    <col min="7" max="7" width="31.140625" bestFit="1" customWidth="1"/>
    <col min="8" max="8" width="29.28515625" bestFit="1" customWidth="1"/>
    <col min="9" max="9" width="25" bestFit="1" customWidth="1"/>
    <col min="10" max="10" width="25.28515625" bestFit="1" customWidth="1"/>
    <col min="11" max="11" width="16.28515625" bestFit="1" customWidth="1"/>
    <col min="12" max="12" width="7.7109375" bestFit="1" customWidth="1"/>
    <col min="13" max="13" width="7.7109375" customWidth="1"/>
    <col min="14" max="24" width="7.42578125" customWidth="1"/>
  </cols>
  <sheetData>
    <row r="1" spans="1:22" s="1" customFormat="1" x14ac:dyDescent="0.25">
      <c r="A1" s="1" t="s">
        <v>0</v>
      </c>
      <c r="B1" s="1" t="s">
        <v>1</v>
      </c>
      <c r="C1" s="1" t="s">
        <v>2</v>
      </c>
      <c r="D1" s="11" t="s">
        <v>3</v>
      </c>
      <c r="E1" s="11" t="s">
        <v>4</v>
      </c>
      <c r="F1" s="1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93</v>
      </c>
    </row>
    <row r="2" spans="1:22" x14ac:dyDescent="0.25">
      <c r="A2" t="s">
        <v>5</v>
      </c>
      <c r="B2" t="s">
        <v>6</v>
      </c>
      <c r="C2" t="s">
        <v>7</v>
      </c>
      <c r="D2" s="12" t="s">
        <v>8</v>
      </c>
      <c r="E2" s="12" t="s">
        <v>9</v>
      </c>
      <c r="F2" s="12" t="str" cm="1">
        <f t="array" ref="F2">ClassifyContent($N2:$X2,F$1)</f>
        <v>Patron</v>
      </c>
      <c r="G2" s="12" t="str" cm="1">
        <f t="array" ref="G2">ClassifyContent($N2:$X2,G$1)</f>
        <v>Spell,Rule,Item</v>
      </c>
      <c r="H2" s="12" t="str" cm="1">
        <f t="array" ref="H2">ClassifyContent($N2:$X2,H$1)</f>
        <v/>
      </c>
      <c r="I2" s="12" t="str" cm="1">
        <f t="array" ref="I2">ClassifyContent($N2:$X2,I$1)</f>
        <v>Sub-class,Class</v>
      </c>
      <c r="J2" s="12" t="str" cm="1">
        <f t="array" ref="J2">ClassifyContent($N2:$X2,J$1)</f>
        <v>Hook</v>
      </c>
      <c r="K2" s="12" t="str" cm="1">
        <f t="array" ref="K2">ClassifyContent($N2:$X2,K$1)</f>
        <v/>
      </c>
      <c r="L2" s="12" t="str" cm="1">
        <f t="array" ref="L2">ClassifyContent($N2:$X2,L$1)</f>
        <v/>
      </c>
      <c r="M2" s="12"/>
      <c r="N2" s="22" t="s">
        <v>117</v>
      </c>
      <c r="O2" t="s">
        <v>104</v>
      </c>
      <c r="P2" t="s">
        <v>107</v>
      </c>
      <c r="Q2" t="s">
        <v>109</v>
      </c>
      <c r="R2" t="s">
        <v>94</v>
      </c>
      <c r="S2" t="s">
        <v>105</v>
      </c>
      <c r="T2" t="s">
        <v>113</v>
      </c>
    </row>
    <row r="3" spans="1:22" x14ac:dyDescent="0.25">
      <c r="A3" t="s">
        <v>5</v>
      </c>
      <c r="B3" t="s">
        <v>10</v>
      </c>
      <c r="D3" s="12" t="s">
        <v>8</v>
      </c>
      <c r="F3" s="12" t="str" cm="1">
        <f t="array" ref="F3">ClassifyContent($N3:$X3,F$1)</f>
        <v/>
      </c>
      <c r="G3" s="12" t="str" cm="1">
        <f t="array" ref="G3">ClassifyContent($N3:$X3,G$1)</f>
        <v/>
      </c>
      <c r="H3" s="12" t="str" cm="1">
        <f t="array" ref="H3">ClassifyContent($N3:$X3,H$1)</f>
        <v/>
      </c>
      <c r="I3" s="12" t="str" cm="1">
        <f t="array" ref="I3">ClassifyContent($N3:$X3,I$1)</f>
        <v/>
      </c>
      <c r="J3" s="12" t="str" cm="1">
        <f t="array" ref="J3">ClassifyContent($N3:$X3,J$1)</f>
        <v/>
      </c>
      <c r="K3" s="12" t="str" cm="1">
        <f t="array" ref="K3">ClassifyContent($N3:$X3,K$1)</f>
        <v/>
      </c>
      <c r="L3" s="12" t="str" cm="1">
        <f t="array" ref="L3">ClassifyContent($N3:$X3,L$1)</f>
        <v/>
      </c>
      <c r="M3" s="12"/>
      <c r="N3" s="22"/>
    </row>
    <row r="4" spans="1:22" x14ac:dyDescent="0.25">
      <c r="A4" t="s">
        <v>5</v>
      </c>
      <c r="B4" t="s">
        <v>11</v>
      </c>
      <c r="C4" t="s">
        <v>7</v>
      </c>
      <c r="D4" s="12" t="s">
        <v>8</v>
      </c>
      <c r="F4" s="12" t="str" cm="1">
        <f t="array" ref="F4">ClassifyContent($N4:$X4,F$1)</f>
        <v/>
      </c>
      <c r="G4" s="12" t="str" cm="1">
        <f t="array" ref="G4">ClassifyContent($N4:$X4,G$1)</f>
        <v/>
      </c>
      <c r="H4" s="12" t="str" cm="1">
        <f t="array" ref="H4">ClassifyContent($N4:$X4,H$1)</f>
        <v/>
      </c>
      <c r="I4" s="12" t="str" cm="1">
        <f t="array" ref="I4">ClassifyContent($N4:$X4,I$1)</f>
        <v/>
      </c>
      <c r="J4" s="12" t="str" cm="1">
        <f t="array" ref="J4">ClassifyContent($N4:$X4,J$1)</f>
        <v/>
      </c>
      <c r="K4" s="12" t="str" cm="1">
        <f t="array" ref="K4">ClassifyContent($N4:$X4,K$1)</f>
        <v/>
      </c>
      <c r="L4" s="12" t="str" cm="1">
        <f t="array" ref="L4">ClassifyContent($N4:$X4,L$1)</f>
        <v/>
      </c>
      <c r="M4" s="12"/>
      <c r="N4" s="22"/>
    </row>
    <row r="5" spans="1:22" x14ac:dyDescent="0.25">
      <c r="A5" t="s">
        <v>5</v>
      </c>
      <c r="B5" t="s">
        <v>12</v>
      </c>
      <c r="D5" s="12" t="s">
        <v>8</v>
      </c>
      <c r="F5" s="12" t="str" cm="1">
        <f t="array" ref="F5">ClassifyContent($N5:$X5,F$1)</f>
        <v/>
      </c>
      <c r="G5" s="12" t="str" cm="1">
        <f t="array" ref="G5">ClassifyContent($N5:$X5,G$1)</f>
        <v/>
      </c>
      <c r="H5" s="12" t="str" cm="1">
        <f t="array" ref="H5">ClassifyContent($N5:$X5,H$1)</f>
        <v/>
      </c>
      <c r="I5" s="12" t="str" cm="1">
        <f t="array" ref="I5">ClassifyContent($N5:$X5,I$1)</f>
        <v/>
      </c>
      <c r="J5" s="12" t="str" cm="1">
        <f t="array" ref="J5">ClassifyContent($N5:$X5,J$1)</f>
        <v/>
      </c>
      <c r="K5" s="12" t="str" cm="1">
        <f t="array" ref="K5">ClassifyContent($N5:$X5,K$1)</f>
        <v/>
      </c>
      <c r="L5" s="12" t="str" cm="1">
        <f t="array" ref="L5">ClassifyContent($N5:$X5,L$1)</f>
        <v/>
      </c>
      <c r="M5" s="12"/>
      <c r="N5" s="22"/>
    </row>
    <row r="6" spans="1:22" x14ac:dyDescent="0.25">
      <c r="A6" t="s">
        <v>5</v>
      </c>
      <c r="B6" t="s">
        <v>13</v>
      </c>
      <c r="D6" s="12" t="s">
        <v>8</v>
      </c>
      <c r="F6" s="12" t="str" cm="1">
        <f t="array" ref="F6">ClassifyContent($N6:$X6,F$1)</f>
        <v/>
      </c>
      <c r="G6" s="12" t="str" cm="1">
        <f t="array" ref="G6">ClassifyContent($N6:$X6,G$1)</f>
        <v/>
      </c>
      <c r="H6" s="12" t="str" cm="1">
        <f t="array" ref="H6">ClassifyContent($N6:$X6,H$1)</f>
        <v/>
      </c>
      <c r="I6" s="12" t="str" cm="1">
        <f t="array" ref="I6">ClassifyContent($N6:$X6,I$1)</f>
        <v/>
      </c>
      <c r="J6" s="12" t="str" cm="1">
        <f t="array" ref="J6">ClassifyContent($N6:$X6,J$1)</f>
        <v/>
      </c>
      <c r="K6" s="12" t="str" cm="1">
        <f t="array" ref="K6">ClassifyContent($N6:$X6,K$1)</f>
        <v/>
      </c>
      <c r="L6" s="12" t="str" cm="1">
        <f t="array" ref="L6">ClassifyContent($N6:$X6,L$1)</f>
        <v/>
      </c>
      <c r="M6" s="12"/>
      <c r="N6" s="22"/>
    </row>
    <row r="7" spans="1:22" x14ac:dyDescent="0.25">
      <c r="A7" t="s">
        <v>5</v>
      </c>
      <c r="B7" t="s">
        <v>14</v>
      </c>
      <c r="D7" s="12" t="s">
        <v>8</v>
      </c>
      <c r="F7" s="12" t="str" cm="1">
        <f t="array" ref="F7">ClassifyContent($N7:$X7,F$1)</f>
        <v/>
      </c>
      <c r="G7" s="12" t="str" cm="1">
        <f t="array" ref="G7">ClassifyContent($N7:$X7,G$1)</f>
        <v/>
      </c>
      <c r="H7" s="12" t="str" cm="1">
        <f t="array" ref="H7">ClassifyContent($N7:$X7,H$1)</f>
        <v/>
      </c>
      <c r="I7" s="12" t="str" cm="1">
        <f t="array" ref="I7">ClassifyContent($N7:$X7,I$1)</f>
        <v/>
      </c>
      <c r="J7" s="12" t="str" cm="1">
        <f t="array" ref="J7">ClassifyContent($N7:$X7,J$1)</f>
        <v/>
      </c>
      <c r="K7" s="12" t="str" cm="1">
        <f t="array" ref="K7">ClassifyContent($N7:$X7,K$1)</f>
        <v/>
      </c>
      <c r="L7" s="12" t="str" cm="1">
        <f t="array" ref="L7">ClassifyContent($N7:$X7,L$1)</f>
        <v/>
      </c>
      <c r="M7" s="12"/>
      <c r="N7" s="22"/>
    </row>
    <row r="8" spans="1:22" x14ac:dyDescent="0.25">
      <c r="A8" t="s">
        <v>5</v>
      </c>
      <c r="B8" t="s">
        <v>15</v>
      </c>
      <c r="C8" t="s">
        <v>16</v>
      </c>
      <c r="D8" s="12" t="s">
        <v>8</v>
      </c>
      <c r="E8" s="12" t="s">
        <v>9</v>
      </c>
      <c r="F8" s="12" t="str" cm="1">
        <f t="array" ref="F8">ClassifyContent($N8:$X8,F$1)</f>
        <v/>
      </c>
      <c r="G8" s="12" t="str" cm="1">
        <f t="array" ref="G8">ClassifyContent($N8:$X8,G$1)</f>
        <v>Bestiary</v>
      </c>
      <c r="H8" s="12" t="str" cm="1">
        <f t="array" ref="H8">ClassifyContent($N8:$X8,H$1)</f>
        <v/>
      </c>
      <c r="I8" s="12" t="str" cm="1">
        <f t="array" ref="I8">ClassifyContent($N8:$X8,I$1)</f>
        <v>Sub-class</v>
      </c>
      <c r="J8" s="12" t="str" cm="1">
        <f t="array" ref="J8">ClassifyContent($N8:$X8,J$1)</f>
        <v>Campaign</v>
      </c>
      <c r="K8" s="12" t="str" cm="1">
        <f t="array" ref="K8">ClassifyContent($N8:$X8,K$1)</f>
        <v/>
      </c>
      <c r="L8" s="12" t="str" cm="1">
        <f t="array" ref="L8">ClassifyContent($N8:$X8,L$1)</f>
        <v/>
      </c>
      <c r="M8" s="12"/>
      <c r="N8" s="22" t="s">
        <v>74</v>
      </c>
      <c r="O8" t="s">
        <v>109</v>
      </c>
      <c r="P8" t="s">
        <v>28</v>
      </c>
    </row>
    <row r="9" spans="1:22" x14ac:dyDescent="0.25">
      <c r="A9" t="s">
        <v>5</v>
      </c>
      <c r="B9" t="s">
        <v>17</v>
      </c>
      <c r="C9" t="s">
        <v>16</v>
      </c>
      <c r="D9" s="12" t="s">
        <v>8</v>
      </c>
      <c r="E9" s="12" t="s">
        <v>9</v>
      </c>
      <c r="F9" s="12" t="str" cm="1">
        <f t="array" ref="F9">ClassifyContent($N9:$X9,F$1)</f>
        <v>God</v>
      </c>
      <c r="G9" s="12" t="str" cm="1">
        <f t="array" ref="G9">ClassifyContent($N9:$X9,G$1)</f>
        <v>Item,Bestiary</v>
      </c>
      <c r="H9" s="12" t="str" cm="1">
        <f t="array" ref="H9">ClassifyContent($N9:$X9,H$1)</f>
        <v/>
      </c>
      <c r="I9" s="12" t="str" cm="1">
        <f t="array" ref="I9">ClassifyContent($N9:$X9,I$1)</f>
        <v>Sub-class,Race</v>
      </c>
      <c r="J9" s="12" t="str" cm="1">
        <f t="array" ref="J9">ClassifyContent($N9:$X9,J$1)</f>
        <v>Hook,Adventure</v>
      </c>
      <c r="K9" s="12" t="str" cm="1">
        <f t="array" ref="K9">ClassifyContent($N9:$X9,K$1)</f>
        <v>Lore</v>
      </c>
      <c r="L9" s="12" t="str" cm="1">
        <f t="array" ref="L9">ClassifyContent($N9:$X9,L$1)</f>
        <v/>
      </c>
      <c r="M9" s="12"/>
      <c r="N9" s="22" t="s">
        <v>95</v>
      </c>
      <c r="O9" t="s">
        <v>109</v>
      </c>
      <c r="P9" t="s">
        <v>178</v>
      </c>
      <c r="Q9" t="s">
        <v>67</v>
      </c>
      <c r="R9" t="s">
        <v>105</v>
      </c>
      <c r="S9" t="s">
        <v>113</v>
      </c>
      <c r="T9" t="s">
        <v>28</v>
      </c>
      <c r="U9" t="s">
        <v>25</v>
      </c>
    </row>
    <row r="10" spans="1:22" x14ac:dyDescent="0.25">
      <c r="A10" t="s">
        <v>5</v>
      </c>
      <c r="B10" t="s">
        <v>18</v>
      </c>
      <c r="C10" t="s">
        <v>16</v>
      </c>
      <c r="D10" s="12" t="s">
        <v>9</v>
      </c>
      <c r="E10" s="12" t="s">
        <v>9</v>
      </c>
      <c r="F10" s="12" t="str" cm="1">
        <f t="array" ref="F10">ClassifyContent($N10:$X10,F$1)</f>
        <v/>
      </c>
      <c r="G10" s="12" t="str" cm="1">
        <f t="array" ref="G10">ClassifyContent($N10:$X10,G$1)</f>
        <v>Item,Bestiary</v>
      </c>
      <c r="H10" s="12" t="str" cm="1">
        <f t="array" ref="H10">ClassifyContent($N10:$X10,H$1)</f>
        <v/>
      </c>
      <c r="I10" s="12" t="str" cm="1">
        <f t="array" ref="I10">ClassifyContent($N10:$X10,I$1)</f>
        <v>Sub-class,Race,CriticalRole</v>
      </c>
      <c r="J10" s="12" t="str" cm="1">
        <f t="array" ref="J10">ClassifyContent($N10:$X10,J$1)</f>
        <v>Hook</v>
      </c>
      <c r="K10" s="12" t="str" cm="1">
        <f t="array" ref="K10">ClassifyContent($N10:$X10,K$1)</f>
        <v>Lore,History</v>
      </c>
      <c r="L10" s="12" t="str" cm="1">
        <f t="array" ref="L10">ClassifyContent($N10:$X10,L$1)</f>
        <v/>
      </c>
      <c r="M10" s="12"/>
      <c r="N10" s="22" t="s">
        <v>170</v>
      </c>
      <c r="O10" t="s">
        <v>67</v>
      </c>
      <c r="P10" t="s">
        <v>61</v>
      </c>
      <c r="Q10" t="s">
        <v>95</v>
      </c>
      <c r="R10" t="s">
        <v>109</v>
      </c>
      <c r="S10" t="s">
        <v>28</v>
      </c>
      <c r="T10" t="s">
        <v>113</v>
      </c>
      <c r="V10" t="s">
        <v>105</v>
      </c>
    </row>
    <row r="11" spans="1:22" x14ac:dyDescent="0.25">
      <c r="A11" t="s">
        <v>5</v>
      </c>
      <c r="B11" t="s">
        <v>19</v>
      </c>
      <c r="C11" t="s">
        <v>20</v>
      </c>
      <c r="D11" s="12" t="s">
        <v>8</v>
      </c>
      <c r="E11" s="12" t="s">
        <v>9</v>
      </c>
      <c r="F11" s="12" t="str" cm="1">
        <f t="array" ref="F11">ClassifyContent($N11:$X11,F$1)</f>
        <v/>
      </c>
      <c r="G11" s="12" t="str" cm="1">
        <f t="array" ref="G11">ClassifyContent($N11:$X11,G$1)</f>
        <v>Location,Card</v>
      </c>
      <c r="H11" s="12" t="str" cm="1">
        <f t="array" ref="H11">ClassifyContent($N11:$X11,H$1)</f>
        <v>Waterdeep,SwordCoast,Faerun</v>
      </c>
      <c r="I11" s="12" t="str" cm="1">
        <f t="array" ref="I11">ClassifyContent($N11:$X11,I$1)</f>
        <v/>
      </c>
      <c r="J11" s="12" t="str" cm="1">
        <f t="array" ref="J11">ClassifyContent($N11:$X11,J$1)</f>
        <v/>
      </c>
      <c r="K11" s="12" t="str" cm="1">
        <f t="array" ref="K11">ClassifyContent($N11:$X11,K$1)</f>
        <v>Lore,History</v>
      </c>
      <c r="L11" s="12" t="str" cm="1">
        <f t="array" ref="L11">ClassifyContent($N11:$X11,L$1)</f>
        <v/>
      </c>
      <c r="M11" s="12"/>
      <c r="N11" s="22" t="s">
        <v>67</v>
      </c>
      <c r="O11" t="s">
        <v>99</v>
      </c>
      <c r="P11" t="s">
        <v>61</v>
      </c>
      <c r="R11" t="s">
        <v>177</v>
      </c>
      <c r="S11" t="s">
        <v>58</v>
      </c>
      <c r="T11" t="s">
        <v>78</v>
      </c>
      <c r="U11" t="s">
        <v>69</v>
      </c>
    </row>
    <row r="12" spans="1:22" x14ac:dyDescent="0.25">
      <c r="A12" t="s">
        <v>5</v>
      </c>
      <c r="B12" t="s">
        <v>21</v>
      </c>
      <c r="C12" t="s">
        <v>16</v>
      </c>
      <c r="D12" s="12" t="s">
        <v>8</v>
      </c>
      <c r="E12" s="12" t="s">
        <v>9</v>
      </c>
      <c r="F12" s="12" t="str" cm="1">
        <f t="array" ref="F12">ClassifyContent($N12:$X12,F$1)</f>
        <v>God</v>
      </c>
      <c r="G12" s="12" t="str" cm="1">
        <f t="array" ref="G12">ClassifyContent($N12:$X12,G$1)</f>
        <v>Item,Item</v>
      </c>
      <c r="H12" s="12" t="str" cm="1">
        <f t="array" ref="H12">ClassifyContent($N12:$X12,H$1)</f>
        <v/>
      </c>
      <c r="I12" s="12" t="str" cm="1">
        <f t="array" ref="I12">ClassifyContent($N12:$X12,I$1)</f>
        <v>Sub-Race,Race</v>
      </c>
      <c r="J12" s="12" t="str" cm="1">
        <f t="array" ref="J12">ClassifyContent($N12:$X12,J$1)</f>
        <v>Hook</v>
      </c>
      <c r="K12" s="12" t="str" cm="1">
        <f t="array" ref="K12">ClassifyContent($N12:$X12,K$1)</f>
        <v>Lore,History</v>
      </c>
      <c r="L12" s="12" t="str" cm="1">
        <f t="array" ref="L12">ClassifyContent($N12:$X12,L$1)</f>
        <v/>
      </c>
      <c r="M12" s="12"/>
      <c r="N12" s="22" t="s">
        <v>113</v>
      </c>
      <c r="O12" t="s">
        <v>95</v>
      </c>
      <c r="P12" t="s">
        <v>61</v>
      </c>
      <c r="Q12" t="s">
        <v>67</v>
      </c>
      <c r="R12" t="s">
        <v>178</v>
      </c>
      <c r="S12" t="s">
        <v>113</v>
      </c>
      <c r="T12" t="s">
        <v>179</v>
      </c>
      <c r="V12" t="s">
        <v>105</v>
      </c>
    </row>
    <row r="13" spans="1:22" x14ac:dyDescent="0.25">
      <c r="A13" t="s">
        <v>5</v>
      </c>
      <c r="B13" t="s">
        <v>22</v>
      </c>
      <c r="C13" t="s">
        <v>16</v>
      </c>
      <c r="D13" s="12" t="s">
        <v>8</v>
      </c>
      <c r="E13" s="12" t="s">
        <v>9</v>
      </c>
      <c r="F13" s="12" t="str" cm="1">
        <f t="array" ref="F13">ClassifyContent($N13:$X13,F$1)</f>
        <v>Patron,NPC,God</v>
      </c>
      <c r="G13" s="12" t="str" cm="1">
        <f t="array" ref="G13">ClassifyContent($N13:$X13,G$1)</f>
        <v>Item,Bestiary</v>
      </c>
      <c r="H13" s="12" t="str" cm="1">
        <f t="array" ref="H13">ClassifyContent($N13:$X13,H$1)</f>
        <v/>
      </c>
      <c r="I13" s="12" t="str" cm="1">
        <f t="array" ref="I13">ClassifyContent($N13:$X13,I$1)</f>
        <v>Race,Class</v>
      </c>
      <c r="J13" s="12" t="str" cm="1">
        <f t="array" ref="J13">ClassifyContent($N13:$X13,J$1)</f>
        <v>Hook</v>
      </c>
      <c r="K13" s="12" t="str" cm="1">
        <f t="array" ref="K13">ClassifyContent($N13:$X13,K$1)</f>
        <v>Lore</v>
      </c>
      <c r="L13" s="12" t="str" cm="1">
        <f t="array" ref="L13">ClassifyContent($N13:$X13,L$1)</f>
        <v/>
      </c>
      <c r="M13" s="12"/>
      <c r="N13" s="22" t="s">
        <v>95</v>
      </c>
      <c r="O13" t="s">
        <v>104</v>
      </c>
      <c r="P13" t="s">
        <v>107</v>
      </c>
      <c r="Q13" t="s">
        <v>67</v>
      </c>
      <c r="R13" t="s">
        <v>103</v>
      </c>
      <c r="S13" t="s">
        <v>28</v>
      </c>
      <c r="T13" t="s">
        <v>113</v>
      </c>
      <c r="U13" t="s">
        <v>178</v>
      </c>
      <c r="V13" t="s">
        <v>105</v>
      </c>
    </row>
    <row r="14" spans="1:22" x14ac:dyDescent="0.25">
      <c r="A14" t="s">
        <v>5</v>
      </c>
      <c r="B14" t="s">
        <v>23</v>
      </c>
      <c r="C14" t="s">
        <v>16</v>
      </c>
      <c r="D14" s="12" t="s">
        <v>8</v>
      </c>
      <c r="E14" s="12" t="s">
        <v>9</v>
      </c>
      <c r="F14" s="12" t="str" cm="1">
        <f t="array" ref="F14">ClassifyContent($N14:$X14,F$1)</f>
        <v>NPC</v>
      </c>
      <c r="G14" s="12" t="str" cm="1">
        <f t="array" ref="G14">ClassifyContent($N14:$X14,G$1)</f>
        <v>Monster</v>
      </c>
      <c r="H14" s="12" t="str" cm="1">
        <f t="array" ref="H14">ClassifyContent($N14:$X14,H$1)</f>
        <v/>
      </c>
      <c r="I14" s="12" t="str" cm="1">
        <f t="array" ref="I14">ClassifyContent($N14:$X14,I$1)</f>
        <v>Race,Class</v>
      </c>
      <c r="J14" s="12" t="str" cm="1">
        <f t="array" ref="J14">ClassifyContent($N14:$X14,J$1)</f>
        <v>Hook,Campaign,Adventure</v>
      </c>
      <c r="K14" s="12" t="str" cm="1">
        <f t="array" ref="K14">ClassifyContent($N14:$X14,K$1)</f>
        <v/>
      </c>
      <c r="L14" s="12" t="str" cm="1">
        <f t="array" ref="L14">ClassifyContent($N14:$X14,L$1)</f>
        <v/>
      </c>
      <c r="M14" s="12"/>
      <c r="N14" s="22" t="s">
        <v>95</v>
      </c>
      <c r="O14" t="s">
        <v>104</v>
      </c>
      <c r="P14" t="s">
        <v>25</v>
      </c>
      <c r="Q14" t="s">
        <v>103</v>
      </c>
      <c r="R14" t="s">
        <v>108</v>
      </c>
      <c r="S14" t="s">
        <v>74</v>
      </c>
      <c r="T14" t="s">
        <v>105</v>
      </c>
    </row>
    <row r="15" spans="1:22" x14ac:dyDescent="0.25">
      <c r="A15" t="s">
        <v>5</v>
      </c>
      <c r="B15" t="s">
        <v>24</v>
      </c>
      <c r="C15" t="s">
        <v>25</v>
      </c>
      <c r="D15" s="12" t="s">
        <v>8</v>
      </c>
      <c r="E15" s="12" t="s">
        <v>9</v>
      </c>
      <c r="F15" s="12" t="str" cm="1">
        <f t="array" ref="F15">ClassifyContent($N15:$X15,F$1)</f>
        <v>NPC</v>
      </c>
      <c r="G15" s="12" t="str" cm="1">
        <f t="array" ref="G15">ClassifyContent($N15:$X15,G$1)</f>
        <v>Rule,Location,Item,Bestiary</v>
      </c>
      <c r="H15" s="12" t="str" cm="1">
        <f t="array" ref="H15">ClassifyContent($N15:$X15,H$1)</f>
        <v>Faerun</v>
      </c>
      <c r="I15" s="12" t="str" cm="1">
        <f t="array" ref="I15">ClassifyContent($N15:$X15,I$1)</f>
        <v>Sub-class</v>
      </c>
      <c r="J15" s="12" t="str" cm="1">
        <f t="array" ref="J15">ClassifyContent($N15:$X15,J$1)</f>
        <v>Campaign,Anthology</v>
      </c>
      <c r="K15" s="12" t="str" cm="1">
        <f t="array" ref="K15">ClassifyContent($N15:$X15,K$1)</f>
        <v/>
      </c>
      <c r="L15" s="12" t="str" cm="1">
        <f t="array" ref="L15">ClassifyContent($N15:$X15,L$1)</f>
        <v/>
      </c>
      <c r="M15" s="12"/>
      <c r="N15" s="22" t="s">
        <v>41</v>
      </c>
      <c r="O15" t="s">
        <v>74</v>
      </c>
      <c r="P15" t="s">
        <v>69</v>
      </c>
      <c r="Q15" t="s">
        <v>113</v>
      </c>
      <c r="R15" t="s">
        <v>103</v>
      </c>
      <c r="S15" t="s">
        <v>28</v>
      </c>
      <c r="T15" t="s">
        <v>58</v>
      </c>
      <c r="U15" t="s">
        <v>109</v>
      </c>
      <c r="V15" t="s">
        <v>117</v>
      </c>
    </row>
    <row r="16" spans="1:22" x14ac:dyDescent="0.25">
      <c r="A16" t="s">
        <v>5</v>
      </c>
      <c r="B16" t="s">
        <v>26</v>
      </c>
      <c r="C16" t="s">
        <v>16</v>
      </c>
      <c r="D16" s="12" t="s">
        <v>8</v>
      </c>
      <c r="E16" s="12" t="s">
        <v>9</v>
      </c>
      <c r="F16" s="12" t="str" cm="1">
        <f t="array" ref="F16">ClassifyContent($N16:$X16,F$1)</f>
        <v>NPC</v>
      </c>
      <c r="G16" s="12" t="str" cm="1">
        <f t="array" ref="G16">ClassifyContent($N16:$X16,G$1)</f>
        <v>Item,Bestiary</v>
      </c>
      <c r="H16" s="12" t="str" cm="1">
        <f t="array" ref="H16">ClassifyContent($N16:$X16,H$1)</f>
        <v/>
      </c>
      <c r="I16" s="12" t="str" cm="1">
        <f t="array" ref="I16">ClassifyContent($N16:$X16,I$1)</f>
        <v>Sub-class,Race</v>
      </c>
      <c r="J16" s="12" t="str" cm="1">
        <f t="array" ref="J16">ClassifyContent($N16:$X16,J$1)</f>
        <v>Hook</v>
      </c>
      <c r="K16" s="12" t="str" cm="1">
        <f t="array" ref="K16">ClassifyContent($N16:$X16,K$1)</f>
        <v>Lore</v>
      </c>
      <c r="L16" s="12" t="str" cm="1">
        <f t="array" ref="L16">ClassifyContent($N16:$X16,L$1)</f>
        <v/>
      </c>
      <c r="M16" s="12"/>
      <c r="N16" s="22" t="s">
        <v>67</v>
      </c>
      <c r="O16" t="s">
        <v>95</v>
      </c>
      <c r="P16" t="s">
        <v>109</v>
      </c>
      <c r="Q16" t="s">
        <v>105</v>
      </c>
      <c r="R16" t="s">
        <v>113</v>
      </c>
      <c r="S16" t="s">
        <v>103</v>
      </c>
      <c r="T16" t="s">
        <v>28</v>
      </c>
    </row>
    <row r="17" spans="1:24" x14ac:dyDescent="0.25">
      <c r="A17" t="s">
        <v>5</v>
      </c>
      <c r="B17" t="s">
        <v>27</v>
      </c>
      <c r="C17" t="s">
        <v>28</v>
      </c>
      <c r="D17" s="12" t="s">
        <v>9</v>
      </c>
      <c r="E17" s="12" t="s">
        <v>9</v>
      </c>
      <c r="F17" s="12" t="str" cm="1">
        <f t="array" ref="F17">ClassifyContent($N17:$X17,F$1)</f>
        <v>Patron,God,Cult</v>
      </c>
      <c r="G17" s="12" t="str" cm="1">
        <f t="array" ref="G17">ClassifyContent($N17:$X17,G$1)</f>
        <v/>
      </c>
      <c r="H17" s="12" t="str" cm="1">
        <f t="array" ref="H17">ClassifyContent($N17:$X17,H$1)</f>
        <v/>
      </c>
      <c r="I17" s="12" t="str" cm="1">
        <f t="array" ref="I17">ClassifyContent($N17:$X17,I$1)</f>
        <v>Race</v>
      </c>
      <c r="J17" s="12" t="str" cm="1">
        <f t="array" ref="J17">ClassifyContent($N17:$X17,J$1)</f>
        <v/>
      </c>
      <c r="K17" s="12" t="str" cm="1">
        <f t="array" ref="K17">ClassifyContent($N17:$X17,K$1)</f>
        <v>Lore,History</v>
      </c>
      <c r="L17" s="12" t="str" cm="1">
        <f t="array" ref="L17">ClassifyContent($N17:$X17,L$1)</f>
        <v/>
      </c>
      <c r="M17" s="12"/>
      <c r="N17" s="22" t="s">
        <v>56</v>
      </c>
      <c r="O17" t="s">
        <v>61</v>
      </c>
      <c r="P17" t="s">
        <v>95</v>
      </c>
      <c r="Q17" t="s">
        <v>178</v>
      </c>
      <c r="R17" t="s">
        <v>67</v>
      </c>
      <c r="S17" t="s">
        <v>107</v>
      </c>
    </row>
    <row r="18" spans="1:24" x14ac:dyDescent="0.25">
      <c r="A18" t="s">
        <v>5</v>
      </c>
      <c r="B18" t="s">
        <v>29</v>
      </c>
      <c r="C18" t="s">
        <v>7</v>
      </c>
      <c r="D18" s="12" t="s">
        <v>9</v>
      </c>
      <c r="E18" s="12" t="s">
        <v>9</v>
      </c>
      <c r="F18" s="12" t="str" cm="1">
        <f t="array" ref="F18">ClassifyContent($N18:$X18,F$1)</f>
        <v/>
      </c>
      <c r="G18" s="12" t="str" cm="1">
        <f t="array" ref="G18">ClassifyContent($N18:$X18,G$1)</f>
        <v>Table,Spell,Rule</v>
      </c>
      <c r="H18" s="12" t="str" cm="1">
        <f t="array" ref="H18">ClassifyContent($N18:$X18,H$1)</f>
        <v/>
      </c>
      <c r="I18" s="12" t="str" cm="1">
        <f t="array" ref="I18">ClassifyContent($N18:$X18,I$1)</f>
        <v>Class</v>
      </c>
      <c r="J18" s="12" t="str" cm="1">
        <f t="array" ref="J18">ClassifyContent($N18:$X18,J$1)</f>
        <v/>
      </c>
      <c r="K18" s="12" t="str" cm="1">
        <f t="array" ref="K18">ClassifyContent($N18:$X18,K$1)</f>
        <v/>
      </c>
      <c r="L18" s="12" t="str" cm="1">
        <f t="array" ref="L18">ClassifyContent($N18:$X18,L$1)</f>
        <v/>
      </c>
      <c r="M18" s="12"/>
      <c r="N18" s="22" t="s">
        <v>117</v>
      </c>
      <c r="O18" t="s">
        <v>104</v>
      </c>
      <c r="P18" t="s">
        <v>83</v>
      </c>
      <c r="Q18" t="s">
        <v>94</v>
      </c>
    </row>
    <row r="19" spans="1:24" x14ac:dyDescent="0.25">
      <c r="A19" t="s">
        <v>5</v>
      </c>
      <c r="B19" t="s">
        <v>30</v>
      </c>
      <c r="C19" t="s">
        <v>25</v>
      </c>
      <c r="D19" s="12" t="s">
        <v>9</v>
      </c>
      <c r="E19" s="12" t="s">
        <v>9</v>
      </c>
      <c r="F19" s="12" t="str" cm="1">
        <f t="array" ref="F19">ClassifyContent($N19:$X19,F$1)</f>
        <v/>
      </c>
      <c r="G19" s="12" t="str" cm="1">
        <f t="array" ref="G19">ClassifyContent($N19:$X19,G$1)</f>
        <v>Item,Bestiary</v>
      </c>
      <c r="H19" s="12" t="str" cm="1">
        <f t="array" ref="H19">ClassifyContent($N19:$X19,H$1)</f>
        <v/>
      </c>
      <c r="I19" s="12" t="str" cm="1">
        <f t="array" ref="I19">ClassifyContent($N19:$X19,I$1)</f>
        <v/>
      </c>
      <c r="J19" s="12" t="str" cm="1">
        <f t="array" ref="J19">ClassifyContent($N19:$X19,J$1)</f>
        <v>Anthology</v>
      </c>
      <c r="K19" s="12" t="str" cm="1">
        <f t="array" ref="K19">ClassifyContent($N19:$X19,K$1)</f>
        <v/>
      </c>
      <c r="L19" s="12" t="str" cm="1">
        <f t="array" ref="L19">ClassifyContent($N19:$X19,L$1)</f>
        <v/>
      </c>
      <c r="M19" s="12"/>
      <c r="N19" s="22" t="s">
        <v>41</v>
      </c>
      <c r="O19" t="s">
        <v>113</v>
      </c>
      <c r="Q19" t="s">
        <v>28</v>
      </c>
    </row>
    <row r="20" spans="1:24" x14ac:dyDescent="0.25">
      <c r="A20" t="s">
        <v>5</v>
      </c>
      <c r="B20" t="s">
        <v>31</v>
      </c>
      <c r="C20" t="s">
        <v>28</v>
      </c>
      <c r="D20" s="12" t="s">
        <v>8</v>
      </c>
      <c r="E20" s="12" t="s">
        <v>9</v>
      </c>
      <c r="F20" s="12" t="str" cm="1">
        <f t="array" ref="F20">ClassifyContent($N20:$X20,F$1)</f>
        <v/>
      </c>
      <c r="G20" s="12" t="str" cm="1">
        <f t="array" ref="G20">ClassifyContent($N20:$X20,G$1)</f>
        <v/>
      </c>
      <c r="H20" s="12" t="str" cm="1">
        <f t="array" ref="H20">ClassifyContent($N20:$X20,H$1)</f>
        <v/>
      </c>
      <c r="I20" s="12" t="str" cm="1">
        <f t="array" ref="I20">ClassifyContent($N20:$X20,I$1)</f>
        <v>Race</v>
      </c>
      <c r="J20" s="12" t="str" cm="1">
        <f t="array" ref="J20">ClassifyContent($N20:$X20,J$1)</f>
        <v/>
      </c>
      <c r="K20" s="12" t="str" cm="1">
        <f t="array" ref="K20">ClassifyContent($N20:$X20,K$1)</f>
        <v>Lore</v>
      </c>
      <c r="L20" s="12" t="str" cm="1">
        <f t="array" ref="L20">ClassifyContent($N20:$X20,L$1)</f>
        <v/>
      </c>
      <c r="M20" s="12"/>
      <c r="N20" s="22" t="s">
        <v>67</v>
      </c>
      <c r="O20" t="s">
        <v>95</v>
      </c>
    </row>
    <row r="21" spans="1:24" x14ac:dyDescent="0.25">
      <c r="A21" t="s">
        <v>5</v>
      </c>
      <c r="B21" t="s">
        <v>32</v>
      </c>
      <c r="C21" t="s">
        <v>16</v>
      </c>
      <c r="D21" s="12" t="s">
        <v>9</v>
      </c>
      <c r="E21" s="12" t="s">
        <v>9</v>
      </c>
      <c r="F21" s="12" t="str" cm="1">
        <f t="array" ref="F21">ClassifyContent($N21:$X21,F$1)</f>
        <v>Patron,NPC,God</v>
      </c>
      <c r="G21" s="12" t="str" cm="1">
        <f t="array" ref="G21">ClassifyContent($N21:$X21,G$1)</f>
        <v>Location</v>
      </c>
      <c r="H21" s="12" t="str" cm="1">
        <f t="array" ref="H21">ClassifyContent($N21:$X21,H$1)</f>
        <v>Faerun</v>
      </c>
      <c r="I21" s="12" t="str" cm="1">
        <f t="array" ref="I21">ClassifyContent($N21:$X21,I$1)</f>
        <v>Sub-class,Race,Class</v>
      </c>
      <c r="J21" s="12" t="str" cm="1">
        <f t="array" ref="J21">ClassifyContent($N21:$X21,J$1)</f>
        <v/>
      </c>
      <c r="K21" s="12" t="str" cm="1">
        <f t="array" ref="K21">ClassifyContent($N21:$X21,K$1)</f>
        <v>Lore,History</v>
      </c>
      <c r="L21" s="12" t="str" cm="1">
        <f t="array" ref="L21">ClassifyContent($N21:$X21,L$1)</f>
        <v/>
      </c>
      <c r="M21" s="12"/>
      <c r="N21" s="22" t="s">
        <v>61</v>
      </c>
      <c r="O21" t="s">
        <v>67</v>
      </c>
      <c r="P21" t="s">
        <v>104</v>
      </c>
      <c r="Q21" t="s">
        <v>109</v>
      </c>
      <c r="R21" t="s">
        <v>95</v>
      </c>
      <c r="T21" t="s">
        <v>58</v>
      </c>
      <c r="U21" t="s">
        <v>178</v>
      </c>
      <c r="V21" t="s">
        <v>69</v>
      </c>
      <c r="W21" t="s">
        <v>107</v>
      </c>
      <c r="X21" t="s">
        <v>103</v>
      </c>
    </row>
    <row r="22" spans="1:24" x14ac:dyDescent="0.25">
      <c r="A22" t="s">
        <v>5</v>
      </c>
      <c r="B22" t="s">
        <v>33</v>
      </c>
      <c r="C22" t="s">
        <v>34</v>
      </c>
      <c r="D22" s="12" t="s">
        <v>9</v>
      </c>
      <c r="E22" s="12" t="s">
        <v>9</v>
      </c>
      <c r="F22" s="12" t="str" cm="1">
        <f t="array" ref="F22">ClassifyContent($N22:$X22,F$1)</f>
        <v>Patron,NPC,God</v>
      </c>
      <c r="G22" s="12" t="str" cm="1">
        <f t="array" ref="G22">ClassifyContent($N22:$X22,G$1)</f>
        <v>Spell,Rule,Item</v>
      </c>
      <c r="H22" s="12" t="str" cm="1">
        <f t="array" ref="H22">ClassifyContent($N22:$X22,H$1)</f>
        <v/>
      </c>
      <c r="I22" s="12" t="str" cm="1">
        <f t="array" ref="I22">ClassifyContent($N22:$X22,I$1)</f>
        <v>Sub-class,Race,Class</v>
      </c>
      <c r="J22" s="12" t="str" cm="1">
        <f t="array" ref="J22">ClassifyContent($N22:$X22,J$1)</f>
        <v/>
      </c>
      <c r="K22" s="12" t="str" cm="1">
        <f t="array" ref="K22">ClassifyContent($N22:$X22,K$1)</f>
        <v>Lore,History</v>
      </c>
      <c r="L22" s="12" t="str" cm="1">
        <f t="array" ref="L22">ClassifyContent($N22:$X22,L$1)</f>
        <v/>
      </c>
      <c r="M22" s="12"/>
      <c r="N22" s="22" t="s">
        <v>95</v>
      </c>
      <c r="O22" t="s">
        <v>104</v>
      </c>
      <c r="P22" t="s">
        <v>109</v>
      </c>
      <c r="Q22" t="s">
        <v>178</v>
      </c>
      <c r="R22" t="s">
        <v>107</v>
      </c>
      <c r="S22" t="s">
        <v>103</v>
      </c>
      <c r="T22" t="s">
        <v>117</v>
      </c>
      <c r="U22" t="s">
        <v>94</v>
      </c>
      <c r="V22" t="s">
        <v>113</v>
      </c>
      <c r="W22" t="s">
        <v>67</v>
      </c>
      <c r="X22" t="s">
        <v>61</v>
      </c>
    </row>
    <row r="23" spans="1:24" x14ac:dyDescent="0.25">
      <c r="A23" t="s">
        <v>5</v>
      </c>
      <c r="B23" t="s">
        <v>35</v>
      </c>
      <c r="C23" t="s">
        <v>28</v>
      </c>
      <c r="D23" s="12" t="s">
        <v>9</v>
      </c>
      <c r="E23" s="12" t="s">
        <v>9</v>
      </c>
      <c r="F23" s="12" t="str" cm="1">
        <f t="array" ref="F23">ClassifyContent($N23:$X23,F$1)</f>
        <v>NPC</v>
      </c>
      <c r="G23" s="12" t="str" cm="1">
        <f t="array" ref="G23">ClassifyContent($N23:$X23,G$1)</f>
        <v/>
      </c>
      <c r="H23" s="12" t="str" cm="1">
        <f t="array" ref="H23">ClassifyContent($N23:$X23,H$1)</f>
        <v/>
      </c>
      <c r="I23" s="12" t="str" cm="1">
        <f t="array" ref="I23">ClassifyContent($N23:$X23,I$1)</f>
        <v/>
      </c>
      <c r="J23" s="12" t="str" cm="1">
        <f t="array" ref="J23">ClassifyContent($N23:$X23,J$1)</f>
        <v/>
      </c>
      <c r="K23" s="12" t="str" cm="1">
        <f t="array" ref="K23">ClassifyContent($N23:$X23,K$1)</f>
        <v/>
      </c>
      <c r="L23" s="12" t="str" cm="1">
        <f t="array" ref="L23">ClassifyContent($N23:$X23,L$1)</f>
        <v/>
      </c>
      <c r="M23" s="12"/>
      <c r="N23" s="22" t="s">
        <v>103</v>
      </c>
    </row>
    <row r="24" spans="1:24" x14ac:dyDescent="0.25">
      <c r="A24" t="s">
        <v>5</v>
      </c>
      <c r="B24" t="s">
        <v>37</v>
      </c>
      <c r="C24" t="s">
        <v>34</v>
      </c>
      <c r="D24" s="12" t="s">
        <v>9</v>
      </c>
      <c r="E24" s="12" t="s">
        <v>9</v>
      </c>
      <c r="F24" s="12" t="str" cm="1">
        <f t="array" ref="F24">ClassifyContent($N24:$X24,F$1)</f>
        <v/>
      </c>
      <c r="G24" s="12" t="str" cm="1">
        <f t="array" ref="G24">ClassifyContent($N24:$X24,G$1)</f>
        <v/>
      </c>
      <c r="H24" s="12" t="str" cm="1">
        <f t="array" ref="H24">ClassifyContent($N24:$X24,H$1)</f>
        <v/>
      </c>
      <c r="I24" s="12" t="str" cm="1">
        <f t="array" ref="I24">ClassifyContent($N24:$X24,I$1)</f>
        <v/>
      </c>
      <c r="J24" s="12" t="str" cm="1">
        <f t="array" ref="J24">ClassifyContent($N24:$X24,J$1)</f>
        <v/>
      </c>
      <c r="K24" s="12" t="str" cm="1">
        <f t="array" ref="K24">ClassifyContent($N24:$X24,K$1)</f>
        <v/>
      </c>
      <c r="L24" s="12" t="str" cm="1">
        <f t="array" ref="L24">ClassifyContent($N24:$X24,L$1)</f>
        <v/>
      </c>
      <c r="M24" s="12"/>
      <c r="N24" s="22"/>
    </row>
    <row r="25" spans="1:24" x14ac:dyDescent="0.25">
      <c r="A25" t="s">
        <v>5</v>
      </c>
      <c r="B25" t="s">
        <v>38</v>
      </c>
      <c r="C25" t="s">
        <v>25</v>
      </c>
      <c r="D25" s="12" t="s">
        <v>9</v>
      </c>
      <c r="F25" s="12" t="str" cm="1">
        <f t="array" ref="F25">ClassifyContent($N25:$X25,F$1)</f>
        <v/>
      </c>
      <c r="G25" s="12" t="str" cm="1">
        <f t="array" ref="G25">ClassifyContent($N25:$X25,G$1)</f>
        <v/>
      </c>
      <c r="H25" s="12" t="str" cm="1">
        <f t="array" ref="H25">ClassifyContent($N25:$X25,H$1)</f>
        <v/>
      </c>
      <c r="I25" s="12" t="str" cm="1">
        <f t="array" ref="I25">ClassifyContent($N25:$X25,I$1)</f>
        <v/>
      </c>
      <c r="J25" s="12" t="str" cm="1">
        <f t="array" ref="J25">ClassifyContent($N25:$X25,J$1)</f>
        <v/>
      </c>
      <c r="K25" s="12" t="str" cm="1">
        <f t="array" ref="K25">ClassifyContent($N25:$X25,K$1)</f>
        <v/>
      </c>
      <c r="L25" s="12" t="str" cm="1">
        <f t="array" ref="L25">ClassifyContent($N25:$X25,L$1)</f>
        <v/>
      </c>
      <c r="M25" s="12"/>
      <c r="N25" s="22"/>
    </row>
    <row r="26" spans="1:24" x14ac:dyDescent="0.25">
      <c r="A26" t="s">
        <v>5</v>
      </c>
      <c r="B26" t="s">
        <v>39</v>
      </c>
      <c r="C26" t="s">
        <v>25</v>
      </c>
      <c r="D26" s="12" t="s">
        <v>8</v>
      </c>
      <c r="E26" s="12" t="s">
        <v>9</v>
      </c>
      <c r="F26" s="12" t="str" cm="1">
        <f t="array" ref="F26">ClassifyContent($N26:$X26,F$1)</f>
        <v/>
      </c>
      <c r="G26" s="12" t="str" cm="1">
        <f t="array" ref="G26">ClassifyContent($N26:$X26,G$1)</f>
        <v>Spell,Rule,Location,Item,Bestiary</v>
      </c>
      <c r="H26" s="12" t="str" cm="1">
        <f t="array" ref="H26">ClassifyContent($N26:$X26,H$1)</f>
        <v/>
      </c>
      <c r="I26" s="12" t="str" cm="1">
        <f t="array" ref="I26">ClassifyContent($N26:$X26,I$1)</f>
        <v>Race</v>
      </c>
      <c r="J26" s="12" t="str" cm="1">
        <f t="array" ref="J26">ClassifyContent($N26:$X26,J$1)</f>
        <v>Campaign</v>
      </c>
      <c r="K26" s="12" t="str" cm="1">
        <f t="array" ref="K26">ClassifyContent($N26:$X26,K$1)</f>
        <v/>
      </c>
      <c r="L26" s="12" t="str" cm="1">
        <f t="array" ref="L26">ClassifyContent($N26:$X26,L$1)</f>
        <v/>
      </c>
      <c r="M26" s="12"/>
      <c r="N26" s="22" t="s">
        <v>74</v>
      </c>
      <c r="O26" t="s">
        <v>28</v>
      </c>
      <c r="Q26" t="s">
        <v>113</v>
      </c>
      <c r="R26" t="s">
        <v>117</v>
      </c>
      <c r="S26" t="s">
        <v>95</v>
      </c>
      <c r="T26" t="s">
        <v>94</v>
      </c>
      <c r="U26" t="s">
        <v>69</v>
      </c>
    </row>
    <row r="27" spans="1:24" x14ac:dyDescent="0.25">
      <c r="A27" t="s">
        <v>5</v>
      </c>
      <c r="B27" t="s">
        <v>40</v>
      </c>
      <c r="C27" t="s">
        <v>25</v>
      </c>
      <c r="D27" s="12" t="s">
        <v>8</v>
      </c>
      <c r="E27" s="12" t="s">
        <v>9</v>
      </c>
      <c r="F27" s="12" t="str" cm="1">
        <f t="array" ref="F27">ClassifyContent($N27:$X27,F$1)</f>
        <v/>
      </c>
      <c r="G27" s="12" t="str" cm="1">
        <f t="array" ref="G27">ClassifyContent($N27:$X27,G$1)</f>
        <v/>
      </c>
      <c r="H27" s="12" t="str" cm="1">
        <f t="array" ref="H27">ClassifyContent($N27:$X27,H$1)</f>
        <v/>
      </c>
      <c r="I27" s="12" t="str" cm="1">
        <f t="array" ref="I27">ClassifyContent($N27:$X27,I$1)</f>
        <v/>
      </c>
      <c r="J27" s="12" t="str" cm="1">
        <f t="array" ref="J27">ClassifyContent($N27:$X27,J$1)</f>
        <v>Anthology</v>
      </c>
      <c r="K27" s="12" t="str" cm="1">
        <f t="array" ref="K27">ClassifyContent($N27:$X27,K$1)</f>
        <v/>
      </c>
      <c r="L27" s="12" t="str" cm="1">
        <f t="array" ref="L27">ClassifyContent($N27:$X27,L$1)</f>
        <v/>
      </c>
      <c r="M27" s="12"/>
      <c r="N27" s="22" t="s">
        <v>41</v>
      </c>
    </row>
    <row r="28" spans="1:24" x14ac:dyDescent="0.25">
      <c r="A28" t="s">
        <v>5</v>
      </c>
      <c r="B28" t="s">
        <v>42</v>
      </c>
      <c r="C28" t="s">
        <v>7</v>
      </c>
      <c r="D28" s="12" t="s">
        <v>9</v>
      </c>
      <c r="E28" s="12" t="s">
        <v>9</v>
      </c>
      <c r="F28" s="12" t="str" cm="1">
        <f t="array" ref="F28">ClassifyContent($N28:$X28,F$1)</f>
        <v/>
      </c>
      <c r="G28" s="12" t="str" cm="1">
        <f t="array" ref="G28">ClassifyContent($N28:$X28,G$1)</f>
        <v/>
      </c>
      <c r="H28" s="12" t="str" cm="1">
        <f t="array" ref="H28">ClassifyContent($N28:$X28,H$1)</f>
        <v/>
      </c>
      <c r="I28" s="12" t="str" cm="1">
        <f t="array" ref="I28">ClassifyContent($N28:$X28,I$1)</f>
        <v/>
      </c>
      <c r="J28" s="12" t="str" cm="1">
        <f t="array" ref="J28">ClassifyContent($N28:$X28,J$1)</f>
        <v/>
      </c>
      <c r="K28" s="12" t="str" cm="1">
        <f t="array" ref="K28">ClassifyContent($N28:$X28,K$1)</f>
        <v/>
      </c>
      <c r="L28" s="12" t="str" cm="1">
        <f t="array" ref="L28">ClassifyContent($N28:$X28,L$1)</f>
        <v/>
      </c>
      <c r="M28" s="12"/>
      <c r="N28" s="22"/>
    </row>
    <row r="29" spans="1:24" x14ac:dyDescent="0.25">
      <c r="A29" t="s">
        <v>5</v>
      </c>
      <c r="B29" t="s">
        <v>43</v>
      </c>
      <c r="C29" t="s">
        <v>34</v>
      </c>
      <c r="D29" s="12" t="s">
        <v>8</v>
      </c>
      <c r="E29" s="12" t="s">
        <v>9</v>
      </c>
      <c r="F29" s="12" t="str" cm="1">
        <f t="array" ref="F29">ClassifyContent($N29:$X29,F$1)</f>
        <v/>
      </c>
      <c r="G29" s="12" t="str" cm="1">
        <f t="array" ref="G29">ClassifyContent($N29:$X29,G$1)</f>
        <v>Spell</v>
      </c>
      <c r="H29" s="12" t="str" cm="1">
        <f t="array" ref="H29">ClassifyContent($N29:$X29,H$1)</f>
        <v/>
      </c>
      <c r="I29" s="12" t="str" cm="1">
        <f t="array" ref="I29">ClassifyContent($N29:$X29,I$1)</f>
        <v>Race</v>
      </c>
      <c r="J29" s="12" t="str" cm="1">
        <f t="array" ref="J29">ClassifyContent($N29:$X29,J$1)</f>
        <v/>
      </c>
      <c r="K29" s="12" t="str" cm="1">
        <f t="array" ref="K29">ClassifyContent($N29:$X29,K$1)</f>
        <v/>
      </c>
      <c r="L29" s="12" t="str" cm="1">
        <f t="array" ref="L29">ClassifyContent($N29:$X29,L$1)</f>
        <v/>
      </c>
      <c r="M29" s="12"/>
      <c r="N29" s="22" t="s">
        <v>95</v>
      </c>
      <c r="O29" t="s">
        <v>94</v>
      </c>
    </row>
    <row r="30" spans="1:24" x14ac:dyDescent="0.25">
      <c r="A30" t="s">
        <v>5</v>
      </c>
      <c r="B30" t="s">
        <v>44</v>
      </c>
      <c r="C30" t="s">
        <v>34</v>
      </c>
      <c r="D30" s="12" t="s">
        <v>8</v>
      </c>
      <c r="E30" s="12" t="s">
        <v>9</v>
      </c>
      <c r="F30" s="12" t="str" cm="1">
        <f t="array" ref="F30">ClassifyContent($N30:$X30,F$1)</f>
        <v>NPC</v>
      </c>
      <c r="G30" s="12" t="str" cm="1">
        <f t="array" ref="G30">ClassifyContent($N30:$X30,G$1)</f>
        <v/>
      </c>
      <c r="H30" s="12" t="str" cm="1">
        <f t="array" ref="H30">ClassifyContent($N30:$X30,H$1)</f>
        <v/>
      </c>
      <c r="I30" s="12" t="str" cm="1">
        <f t="array" ref="I30">ClassifyContent($N30:$X30,I$1)</f>
        <v>Race</v>
      </c>
      <c r="J30" s="12" t="str" cm="1">
        <f t="array" ref="J30">ClassifyContent($N30:$X30,J$1)</f>
        <v/>
      </c>
      <c r="K30" s="12" t="str" cm="1">
        <f t="array" ref="K30">ClassifyContent($N30:$X30,K$1)</f>
        <v/>
      </c>
      <c r="L30" s="12" t="str" cm="1">
        <f t="array" ref="L30">ClassifyContent($N30:$X30,L$1)</f>
        <v/>
      </c>
      <c r="M30" s="12"/>
      <c r="N30" s="22" t="s">
        <v>95</v>
      </c>
      <c r="O30" t="s">
        <v>103</v>
      </c>
    </row>
    <row r="31" spans="1:24" x14ac:dyDescent="0.25">
      <c r="A31" t="s">
        <v>5</v>
      </c>
      <c r="B31" t="s">
        <v>45</v>
      </c>
      <c r="C31" t="s">
        <v>16</v>
      </c>
      <c r="D31" s="12" t="s">
        <v>8</v>
      </c>
      <c r="E31" s="12" t="s">
        <v>9</v>
      </c>
      <c r="F31" s="12" t="str" cm="1">
        <f t="array" ref="F31">ClassifyContent($N31:$X31,F$1)</f>
        <v>NPC</v>
      </c>
      <c r="G31" s="12" t="str" cm="1">
        <f t="array" ref="G31">ClassifyContent($N31:$X31,G$1)</f>
        <v>Location,Bestiary</v>
      </c>
      <c r="H31" s="12" t="str" cm="1">
        <f t="array" ref="H31">ClassifyContent($N31:$X31,H$1)</f>
        <v/>
      </c>
      <c r="I31" s="12" t="str" cm="1">
        <f t="array" ref="I31">ClassifyContent($N31:$X31,I$1)</f>
        <v>Race</v>
      </c>
      <c r="J31" s="12" t="str" cm="1">
        <f t="array" ref="J31">ClassifyContent($N31:$X31,J$1)</f>
        <v>Hook</v>
      </c>
      <c r="K31" s="12" t="str" cm="1">
        <f t="array" ref="K31">ClassifyContent($N31:$X31,K$1)</f>
        <v>Lore</v>
      </c>
      <c r="L31" s="12" t="str" cm="1">
        <f t="array" ref="L31">ClassifyContent($N31:$X31,L$1)</f>
        <v/>
      </c>
      <c r="M31" s="12"/>
      <c r="N31" s="22" t="s">
        <v>95</v>
      </c>
      <c r="O31" t="s">
        <v>103</v>
      </c>
      <c r="P31" t="s">
        <v>105</v>
      </c>
      <c r="R31" t="s">
        <v>67</v>
      </c>
      <c r="S31" t="s">
        <v>69</v>
      </c>
      <c r="T31" t="s">
        <v>28</v>
      </c>
    </row>
    <row r="32" spans="1:24" x14ac:dyDescent="0.25">
      <c r="A32" t="s">
        <v>5</v>
      </c>
      <c r="B32" t="s">
        <v>46</v>
      </c>
      <c r="C32" t="s">
        <v>25</v>
      </c>
      <c r="D32" s="12" t="s">
        <v>8</v>
      </c>
      <c r="E32" s="12" t="s">
        <v>9</v>
      </c>
      <c r="F32" s="12" t="str" cm="1">
        <f t="array" ref="F32">ClassifyContent($N32:$X32,F$1)</f>
        <v/>
      </c>
      <c r="G32" s="12" t="str" cm="1">
        <f t="array" ref="G32">ClassifyContent($N32:$X32,G$1)</f>
        <v>Location,Item,Item,Bestiary</v>
      </c>
      <c r="H32" s="12" t="str" cm="1">
        <f t="array" ref="H32">ClassifyContent($N32:$X32,H$1)</f>
        <v/>
      </c>
      <c r="I32" s="12" t="str" cm="1">
        <f t="array" ref="I32">ClassifyContent($N32:$X32,I$1)</f>
        <v/>
      </c>
      <c r="J32" s="12" t="str" cm="1">
        <f t="array" ref="J32">ClassifyContent($N32:$X32,J$1)</f>
        <v>Campaign</v>
      </c>
      <c r="K32" s="12" t="str" cm="1">
        <f t="array" ref="K32">ClassifyContent($N32:$X32,K$1)</f>
        <v>History</v>
      </c>
      <c r="L32" s="12" t="str" cm="1">
        <f t="array" ref="L32">ClassifyContent($N32:$X32,L$1)</f>
        <v/>
      </c>
      <c r="M32" s="12"/>
      <c r="N32" s="22" t="s">
        <v>61</v>
      </c>
      <c r="O32" t="s">
        <v>113</v>
      </c>
      <c r="P32" t="s">
        <v>28</v>
      </c>
      <c r="Q32" t="s">
        <v>113</v>
      </c>
      <c r="R32" t="s">
        <v>69</v>
      </c>
      <c r="S32" t="s">
        <v>74</v>
      </c>
    </row>
  </sheetData>
  <dataValidations count="1">
    <dataValidation type="list" allowBlank="1" showInputMessage="1" showErrorMessage="1" sqref="C2:C85" xr:uid="{C867E331-BD4F-4B24-94D3-5B940091E3CA}">
      <formula1>Types</formula1>
    </dataValidation>
  </dataValidations>
  <pageMargins left="0.7" right="0.7" top="0.75" bottom="0.75" header="0.3" footer="0.3"/>
  <headerFooter>
    <oddHeader>&amp;C&amp;"Calibri"&amp;10&amp;K000000 INTERNAL&amp;1#_x000D_</oddHead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369E8-FB0C-43DF-8861-19593F4FE659}">
  <sheetPr codeName="Sheet2"/>
  <dimension ref="A1:L51"/>
  <sheetViews>
    <sheetView workbookViewId="0">
      <selection activeCell="F13" sqref="F13"/>
    </sheetView>
  </sheetViews>
  <sheetFormatPr defaultRowHeight="15" x14ac:dyDescent="0.25"/>
  <cols>
    <col min="1" max="1" width="13.140625" bestFit="1" customWidth="1"/>
    <col min="2" max="2" width="53" bestFit="1" customWidth="1"/>
    <col min="5" max="5" width="9.5703125" bestFit="1" customWidth="1"/>
    <col min="6" max="6" width="14.42578125" bestFit="1" customWidth="1"/>
    <col min="7" max="7" width="11.85546875" bestFit="1" customWidth="1"/>
    <col min="8" max="8" width="10.42578125" bestFit="1" customWidth="1"/>
    <col min="9" max="9" width="10.140625" bestFit="1" customWidth="1"/>
    <col min="10" max="10" width="9.42578125" bestFit="1" customWidth="1"/>
  </cols>
  <sheetData>
    <row r="1" spans="1:12" x14ac:dyDescent="0.25">
      <c r="A1" s="8" t="s">
        <v>47</v>
      </c>
      <c r="B1" s="10" t="s">
        <v>48</v>
      </c>
      <c r="E1" s="18" t="s">
        <v>49</v>
      </c>
      <c r="F1" s="19" t="s">
        <v>50</v>
      </c>
      <c r="G1" s="19" t="s">
        <v>51</v>
      </c>
      <c r="H1" s="19" t="s">
        <v>52</v>
      </c>
      <c r="I1" s="19" t="s">
        <v>53</v>
      </c>
      <c r="J1" s="20" t="s">
        <v>54</v>
      </c>
    </row>
    <row r="2" spans="1:12" x14ac:dyDescent="0.25">
      <c r="A2" s="2" t="s">
        <v>25</v>
      </c>
      <c r="B2" s="3" t="s">
        <v>55</v>
      </c>
      <c r="E2" s="13" t="s">
        <v>56</v>
      </c>
      <c r="F2" t="s">
        <v>57</v>
      </c>
      <c r="G2" t="s">
        <v>58</v>
      </c>
      <c r="H2" t="s">
        <v>59</v>
      </c>
      <c r="I2" t="s">
        <v>60</v>
      </c>
      <c r="J2" s="14" t="s">
        <v>61</v>
      </c>
    </row>
    <row r="3" spans="1:12" x14ac:dyDescent="0.25">
      <c r="A3" s="4" t="s">
        <v>16</v>
      </c>
      <c r="B3" s="5" t="s">
        <v>62</v>
      </c>
      <c r="E3" s="13" t="s">
        <v>63</v>
      </c>
      <c r="F3" t="s">
        <v>64</v>
      </c>
      <c r="G3" t="s">
        <v>65</v>
      </c>
      <c r="H3" t="s">
        <v>66</v>
      </c>
      <c r="I3" t="s">
        <v>41</v>
      </c>
      <c r="J3" s="14" t="s">
        <v>67</v>
      </c>
    </row>
    <row r="4" spans="1:12" x14ac:dyDescent="0.25">
      <c r="A4" s="4" t="s">
        <v>28</v>
      </c>
      <c r="B4" s="5" t="s">
        <v>68</v>
      </c>
      <c r="E4" s="13" t="s">
        <v>36</v>
      </c>
      <c r="F4" t="s">
        <v>28</v>
      </c>
      <c r="G4" t="s">
        <v>69</v>
      </c>
      <c r="H4" t="s">
        <v>25</v>
      </c>
      <c r="J4" s="14"/>
    </row>
    <row r="5" spans="1:12" x14ac:dyDescent="0.25">
      <c r="A5" s="4" t="s">
        <v>34</v>
      </c>
      <c r="B5" s="5" t="s">
        <v>70</v>
      </c>
      <c r="E5" s="13" t="s">
        <v>71</v>
      </c>
      <c r="F5" t="s">
        <v>72</v>
      </c>
      <c r="G5" t="s">
        <v>73</v>
      </c>
      <c r="H5" t="s">
        <v>74</v>
      </c>
      <c r="J5" s="14"/>
    </row>
    <row r="6" spans="1:12" x14ac:dyDescent="0.25">
      <c r="A6" s="4" t="s">
        <v>7</v>
      </c>
      <c r="B6" s="5" t="s">
        <v>75</v>
      </c>
      <c r="E6" s="13" t="s">
        <v>76</v>
      </c>
      <c r="F6" t="s">
        <v>77</v>
      </c>
      <c r="G6" t="s">
        <v>78</v>
      </c>
      <c r="J6" s="14"/>
    </row>
    <row r="7" spans="1:12" x14ac:dyDescent="0.25">
      <c r="A7" s="4" t="s">
        <v>79</v>
      </c>
      <c r="B7" s="5" t="s">
        <v>80</v>
      </c>
      <c r="E7" s="13" t="s">
        <v>81</v>
      </c>
      <c r="F7" t="s">
        <v>82</v>
      </c>
      <c r="J7" s="14"/>
    </row>
    <row r="8" spans="1:12" x14ac:dyDescent="0.25">
      <c r="A8" s="4" t="s">
        <v>83</v>
      </c>
      <c r="B8" s="5" t="s">
        <v>84</v>
      </c>
      <c r="E8" s="15"/>
      <c r="F8" s="16" t="s">
        <v>84</v>
      </c>
      <c r="G8" s="16"/>
      <c r="H8" s="16"/>
      <c r="I8" s="16"/>
      <c r="J8" s="17"/>
    </row>
    <row r="9" spans="1:12" x14ac:dyDescent="0.25">
      <c r="A9" s="4" t="s">
        <v>85</v>
      </c>
      <c r="B9" s="5" t="s">
        <v>86</v>
      </c>
    </row>
    <row r="10" spans="1:12" x14ac:dyDescent="0.25">
      <c r="A10" s="4" t="s">
        <v>20</v>
      </c>
      <c r="B10" s="5"/>
      <c r="E10" s="1" t="s">
        <v>87</v>
      </c>
      <c r="F10" s="1" t="s">
        <v>88</v>
      </c>
      <c r="G10" s="1" t="s">
        <v>89</v>
      </c>
      <c r="H10" s="21" t="s">
        <v>90</v>
      </c>
      <c r="I10" s="1" t="s">
        <v>91</v>
      </c>
      <c r="J10" s="1" t="s">
        <v>92</v>
      </c>
      <c r="K10" s="1" t="s">
        <v>93</v>
      </c>
    </row>
    <row r="11" spans="1:12" x14ac:dyDescent="0.25">
      <c r="A11" s="6"/>
      <c r="B11" s="7"/>
      <c r="E11" t="s">
        <v>56</v>
      </c>
      <c r="F11" t="s">
        <v>94</v>
      </c>
      <c r="G11" t="s">
        <v>58</v>
      </c>
      <c r="H11" t="s">
        <v>95</v>
      </c>
      <c r="I11" t="s">
        <v>25</v>
      </c>
      <c r="J11" t="s">
        <v>61</v>
      </c>
      <c r="K11" t="s">
        <v>96</v>
      </c>
      <c r="L11" t="s">
        <v>97</v>
      </c>
    </row>
    <row r="12" spans="1:12" x14ac:dyDescent="0.25">
      <c r="E12" t="s">
        <v>98</v>
      </c>
      <c r="F12" t="s">
        <v>99</v>
      </c>
      <c r="G12" t="s">
        <v>73</v>
      </c>
      <c r="H12" t="s">
        <v>100</v>
      </c>
      <c r="I12" t="s">
        <v>74</v>
      </c>
      <c r="J12" t="s">
        <v>67</v>
      </c>
      <c r="K12" t="s">
        <v>101</v>
      </c>
      <c r="L12" t="s">
        <v>102</v>
      </c>
    </row>
    <row r="13" spans="1:12" x14ac:dyDescent="0.25">
      <c r="E13" t="s">
        <v>103</v>
      </c>
      <c r="F13" t="s">
        <v>28</v>
      </c>
      <c r="G13" t="s">
        <v>78</v>
      </c>
      <c r="H13" t="s">
        <v>104</v>
      </c>
      <c r="I13" t="s">
        <v>105</v>
      </c>
      <c r="K13" t="s">
        <v>106</v>
      </c>
    </row>
    <row r="14" spans="1:12" x14ac:dyDescent="0.25">
      <c r="A14" s="8" t="s">
        <v>91</v>
      </c>
      <c r="B14" s="9"/>
      <c r="E14" t="s">
        <v>107</v>
      </c>
      <c r="F14" t="s">
        <v>108</v>
      </c>
      <c r="H14" t="s">
        <v>109</v>
      </c>
      <c r="I14" t="s">
        <v>41</v>
      </c>
      <c r="K14" t="s">
        <v>110</v>
      </c>
    </row>
    <row r="15" spans="1:12" x14ac:dyDescent="0.25">
      <c r="A15" s="2" t="s">
        <v>111</v>
      </c>
      <c r="B15" s="3"/>
      <c r="E15" t="s">
        <v>112</v>
      </c>
      <c r="F15" t="s">
        <v>113</v>
      </c>
      <c r="I15" t="s">
        <v>114</v>
      </c>
    </row>
    <row r="16" spans="1:12" x14ac:dyDescent="0.25">
      <c r="A16" s="4" t="s">
        <v>115</v>
      </c>
      <c r="B16" s="5"/>
      <c r="E16" t="s">
        <v>116</v>
      </c>
      <c r="F16" t="s">
        <v>83</v>
      </c>
      <c r="I16" t="s">
        <v>16</v>
      </c>
    </row>
    <row r="17" spans="1:6" x14ac:dyDescent="0.25">
      <c r="A17" s="4" t="s">
        <v>103</v>
      </c>
      <c r="B17" s="5"/>
      <c r="F17" t="s">
        <v>117</v>
      </c>
    </row>
    <row r="18" spans="1:6" x14ac:dyDescent="0.25">
      <c r="A18" s="4" t="s">
        <v>118</v>
      </c>
      <c r="B18" s="5"/>
    </row>
    <row r="19" spans="1:6" x14ac:dyDescent="0.25">
      <c r="A19" s="4" t="s">
        <v>119</v>
      </c>
      <c r="B19" s="5"/>
    </row>
    <row r="20" spans="1:6" x14ac:dyDescent="0.25">
      <c r="A20" s="4" t="s">
        <v>120</v>
      </c>
      <c r="B20" s="5"/>
    </row>
    <row r="21" spans="1:6" x14ac:dyDescent="0.25">
      <c r="A21" s="4" t="s">
        <v>121</v>
      </c>
      <c r="B21" s="5"/>
    </row>
    <row r="22" spans="1:6" x14ac:dyDescent="0.25">
      <c r="A22" s="4" t="s">
        <v>122</v>
      </c>
      <c r="B22" s="5"/>
    </row>
    <row r="23" spans="1:6" x14ac:dyDescent="0.25">
      <c r="A23" s="4" t="s">
        <v>123</v>
      </c>
      <c r="B23" s="5"/>
    </row>
    <row r="24" spans="1:6" x14ac:dyDescent="0.25">
      <c r="A24" s="4" t="s">
        <v>124</v>
      </c>
      <c r="B24" s="5"/>
    </row>
    <row r="25" spans="1:6" x14ac:dyDescent="0.25">
      <c r="A25" s="4" t="s">
        <v>125</v>
      </c>
      <c r="B25" s="5"/>
    </row>
    <row r="26" spans="1:6" x14ac:dyDescent="0.25">
      <c r="A26" s="6"/>
      <c r="B26" s="7"/>
    </row>
    <row r="29" spans="1:6" x14ac:dyDescent="0.25">
      <c r="A29" s="8" t="s">
        <v>0</v>
      </c>
      <c r="B29" s="10" t="s">
        <v>126</v>
      </c>
    </row>
    <row r="30" spans="1:6" x14ac:dyDescent="0.25">
      <c r="A30" s="2" t="s">
        <v>127</v>
      </c>
      <c r="B30" s="3" t="s">
        <v>128</v>
      </c>
    </row>
    <row r="31" spans="1:6" x14ac:dyDescent="0.25">
      <c r="A31" s="4" t="s">
        <v>129</v>
      </c>
      <c r="B31" s="5" t="s">
        <v>130</v>
      </c>
    </row>
    <row r="32" spans="1:6" x14ac:dyDescent="0.25">
      <c r="A32" s="4" t="s">
        <v>131</v>
      </c>
      <c r="B32" s="5" t="s">
        <v>132</v>
      </c>
    </row>
    <row r="33" spans="1:2" x14ac:dyDescent="0.25">
      <c r="A33" s="4" t="s">
        <v>133</v>
      </c>
      <c r="B33" s="5" t="s">
        <v>134</v>
      </c>
    </row>
    <row r="34" spans="1:2" x14ac:dyDescent="0.25">
      <c r="A34" s="4" t="s">
        <v>135</v>
      </c>
      <c r="B34" s="5" t="s">
        <v>136</v>
      </c>
    </row>
    <row r="35" spans="1:2" x14ac:dyDescent="0.25">
      <c r="A35" s="4" t="s">
        <v>137</v>
      </c>
      <c r="B35" s="5" t="s">
        <v>138</v>
      </c>
    </row>
    <row r="36" spans="1:2" x14ac:dyDescent="0.25">
      <c r="A36" s="4" t="s">
        <v>139</v>
      </c>
      <c r="B36" s="5" t="s">
        <v>140</v>
      </c>
    </row>
    <row r="37" spans="1:2" x14ac:dyDescent="0.25">
      <c r="A37" s="4" t="s">
        <v>141</v>
      </c>
      <c r="B37" s="5" t="s">
        <v>142</v>
      </c>
    </row>
    <row r="38" spans="1:2" x14ac:dyDescent="0.25">
      <c r="A38" s="4" t="s">
        <v>143</v>
      </c>
      <c r="B38" s="5" t="s">
        <v>144</v>
      </c>
    </row>
    <row r="39" spans="1:2" x14ac:dyDescent="0.25">
      <c r="A39" s="4" t="s">
        <v>145</v>
      </c>
      <c r="B39" s="5" t="s">
        <v>146</v>
      </c>
    </row>
    <row r="40" spans="1:2" x14ac:dyDescent="0.25">
      <c r="A40" s="4" t="s">
        <v>147</v>
      </c>
      <c r="B40" s="5" t="s">
        <v>148</v>
      </c>
    </row>
    <row r="41" spans="1:2" x14ac:dyDescent="0.25">
      <c r="A41" s="4" t="s">
        <v>149</v>
      </c>
      <c r="B41" s="5" t="s">
        <v>150</v>
      </c>
    </row>
    <row r="42" spans="1:2" x14ac:dyDescent="0.25">
      <c r="A42" s="4" t="s">
        <v>151</v>
      </c>
      <c r="B42" s="5" t="s">
        <v>152</v>
      </c>
    </row>
    <row r="43" spans="1:2" x14ac:dyDescent="0.25">
      <c r="A43" s="4" t="s">
        <v>153</v>
      </c>
      <c r="B43" s="5" t="s">
        <v>154</v>
      </c>
    </row>
    <row r="44" spans="1:2" x14ac:dyDescent="0.25">
      <c r="A44" s="4" t="s">
        <v>155</v>
      </c>
      <c r="B44" s="5" t="s">
        <v>156</v>
      </c>
    </row>
    <row r="45" spans="1:2" x14ac:dyDescent="0.25">
      <c r="A45" s="4" t="s">
        <v>157</v>
      </c>
      <c r="B45" s="5" t="s">
        <v>158</v>
      </c>
    </row>
    <row r="46" spans="1:2" x14ac:dyDescent="0.25">
      <c r="A46" s="4" t="s">
        <v>159</v>
      </c>
      <c r="B46" s="5" t="s">
        <v>160</v>
      </c>
    </row>
    <row r="47" spans="1:2" x14ac:dyDescent="0.25">
      <c r="A47" s="4" t="s">
        <v>161</v>
      </c>
      <c r="B47" s="5" t="s">
        <v>162</v>
      </c>
    </row>
    <row r="48" spans="1:2" x14ac:dyDescent="0.25">
      <c r="A48" s="4" t="s">
        <v>163</v>
      </c>
      <c r="B48" s="5" t="s">
        <v>164</v>
      </c>
    </row>
    <row r="49" spans="1:2" x14ac:dyDescent="0.25">
      <c r="A49" s="4" t="s">
        <v>165</v>
      </c>
      <c r="B49" s="5" t="s">
        <v>166</v>
      </c>
    </row>
    <row r="50" spans="1:2" x14ac:dyDescent="0.25">
      <c r="A50" s="4" t="s">
        <v>167</v>
      </c>
      <c r="B50" s="5" t="s">
        <v>168</v>
      </c>
    </row>
    <row r="51" spans="1:2" x14ac:dyDescent="0.25">
      <c r="A51" s="6" t="s">
        <v>5</v>
      </c>
      <c r="B51" s="7" t="s">
        <v>169</v>
      </c>
    </row>
  </sheetData>
  <sortState xmlns:xlrd2="http://schemas.microsoft.com/office/spreadsheetml/2017/richdata2" ref="A30:B51">
    <sortCondition ref="A30:A5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C6CBB-B474-4B6D-A2C6-6BE419B210DB}">
  <sheetPr codeName="Sheet4"/>
  <dimension ref="B1:E33"/>
  <sheetViews>
    <sheetView workbookViewId="0">
      <selection activeCell="B4" sqref="B4"/>
    </sheetView>
  </sheetViews>
  <sheetFormatPr defaultRowHeight="15" x14ac:dyDescent="0.25"/>
  <cols>
    <col min="2" max="2" width="12.42578125" bestFit="1" customWidth="1"/>
    <col min="3" max="3" width="14.42578125" bestFit="1" customWidth="1"/>
    <col min="5" max="5" width="14.42578125" bestFit="1" customWidth="1"/>
  </cols>
  <sheetData>
    <row r="1" spans="2:5" x14ac:dyDescent="0.25">
      <c r="B1" s="1" t="s">
        <v>175</v>
      </c>
      <c r="C1" s="1" t="s">
        <v>176</v>
      </c>
      <c r="E1" s="1" t="s">
        <v>87</v>
      </c>
    </row>
    <row r="2" spans="2:5" x14ac:dyDescent="0.25">
      <c r="B2" t="s">
        <v>25</v>
      </c>
      <c r="C2" s="1" t="s">
        <v>91</v>
      </c>
      <c r="E2" s="1" t="s">
        <v>88</v>
      </c>
    </row>
    <row r="3" spans="2:5" x14ac:dyDescent="0.25">
      <c r="B3" t="s">
        <v>41</v>
      </c>
      <c r="C3" s="1" t="s">
        <v>91</v>
      </c>
      <c r="E3" s="1" t="s">
        <v>89</v>
      </c>
    </row>
    <row r="4" spans="2:5" x14ac:dyDescent="0.25">
      <c r="B4" t="s">
        <v>28</v>
      </c>
      <c r="C4" s="1" t="s">
        <v>88</v>
      </c>
      <c r="E4" s="21" t="s">
        <v>90</v>
      </c>
    </row>
    <row r="5" spans="2:5" x14ac:dyDescent="0.25">
      <c r="B5" t="s">
        <v>74</v>
      </c>
      <c r="C5" s="1" t="s">
        <v>91</v>
      </c>
      <c r="E5" s="1" t="s">
        <v>91</v>
      </c>
    </row>
    <row r="6" spans="2:5" x14ac:dyDescent="0.25">
      <c r="B6" t="s">
        <v>99</v>
      </c>
      <c r="C6" s="1" t="s">
        <v>88</v>
      </c>
      <c r="E6" s="1" t="s">
        <v>92</v>
      </c>
    </row>
    <row r="7" spans="2:5" x14ac:dyDescent="0.25">
      <c r="B7" t="s">
        <v>104</v>
      </c>
      <c r="C7" s="21" t="s">
        <v>90</v>
      </c>
      <c r="E7" s="1" t="s">
        <v>93</v>
      </c>
    </row>
    <row r="8" spans="2:5" x14ac:dyDescent="0.25">
      <c r="B8" t="s">
        <v>56</v>
      </c>
      <c r="C8" s="1" t="s">
        <v>87</v>
      </c>
    </row>
    <row r="9" spans="2:5" x14ac:dyDescent="0.25">
      <c r="B9" t="s">
        <v>171</v>
      </c>
      <c r="C9" s="1" t="s">
        <v>93</v>
      </c>
    </row>
    <row r="10" spans="2:5" x14ac:dyDescent="0.25">
      <c r="B10" t="s">
        <v>174</v>
      </c>
      <c r="C10" s="1" t="s">
        <v>93</v>
      </c>
    </row>
    <row r="11" spans="2:5" x14ac:dyDescent="0.25">
      <c r="B11" t="s">
        <v>114</v>
      </c>
      <c r="C11" s="1" t="s">
        <v>91</v>
      </c>
    </row>
    <row r="12" spans="2:5" x14ac:dyDescent="0.25">
      <c r="B12" t="s">
        <v>112</v>
      </c>
      <c r="C12" s="1" t="s">
        <v>87</v>
      </c>
    </row>
    <row r="13" spans="2:5" x14ac:dyDescent="0.25">
      <c r="B13" t="s">
        <v>58</v>
      </c>
      <c r="C13" s="1" t="s">
        <v>89</v>
      </c>
    </row>
    <row r="14" spans="2:5" x14ac:dyDescent="0.25">
      <c r="B14" t="s">
        <v>178</v>
      </c>
      <c r="C14" s="1" t="s">
        <v>87</v>
      </c>
    </row>
    <row r="15" spans="2:5" x14ac:dyDescent="0.25">
      <c r="B15" t="s">
        <v>116</v>
      </c>
      <c r="C15" s="1" t="s">
        <v>87</v>
      </c>
    </row>
    <row r="16" spans="2:5" x14ac:dyDescent="0.25">
      <c r="B16" t="s">
        <v>61</v>
      </c>
      <c r="C16" s="1" t="s">
        <v>92</v>
      </c>
    </row>
    <row r="17" spans="2:3" x14ac:dyDescent="0.25">
      <c r="B17" t="s">
        <v>105</v>
      </c>
      <c r="C17" s="1" t="s">
        <v>91</v>
      </c>
    </row>
    <row r="18" spans="2:3" x14ac:dyDescent="0.25">
      <c r="B18" t="s">
        <v>113</v>
      </c>
      <c r="C18" s="1" t="s">
        <v>88</v>
      </c>
    </row>
    <row r="19" spans="2:3" x14ac:dyDescent="0.25">
      <c r="B19" t="s">
        <v>67</v>
      </c>
      <c r="C19" s="1" t="s">
        <v>92</v>
      </c>
    </row>
    <row r="20" spans="2:3" x14ac:dyDescent="0.25">
      <c r="B20" t="s">
        <v>108</v>
      </c>
      <c r="C20" s="1" t="s">
        <v>88</v>
      </c>
    </row>
    <row r="21" spans="2:3" x14ac:dyDescent="0.25">
      <c r="B21" t="s">
        <v>103</v>
      </c>
      <c r="C21" s="1" t="s">
        <v>87</v>
      </c>
    </row>
    <row r="22" spans="2:3" x14ac:dyDescent="0.25">
      <c r="B22" t="s">
        <v>172</v>
      </c>
      <c r="C22" s="1" t="s">
        <v>93</v>
      </c>
    </row>
    <row r="23" spans="2:3" x14ac:dyDescent="0.25">
      <c r="B23" t="s">
        <v>173</v>
      </c>
      <c r="C23" s="1" t="s">
        <v>93</v>
      </c>
    </row>
    <row r="24" spans="2:3" x14ac:dyDescent="0.25">
      <c r="B24" t="s">
        <v>107</v>
      </c>
      <c r="C24" s="1" t="s">
        <v>87</v>
      </c>
    </row>
    <row r="25" spans="2:3" x14ac:dyDescent="0.25">
      <c r="B25" t="s">
        <v>95</v>
      </c>
      <c r="C25" s="21" t="s">
        <v>90</v>
      </c>
    </row>
    <row r="26" spans="2:3" x14ac:dyDescent="0.25">
      <c r="B26" t="s">
        <v>117</v>
      </c>
      <c r="C26" s="1" t="s">
        <v>88</v>
      </c>
    </row>
    <row r="27" spans="2:3" x14ac:dyDescent="0.25">
      <c r="B27" t="s">
        <v>16</v>
      </c>
      <c r="C27" s="1" t="s">
        <v>91</v>
      </c>
    </row>
    <row r="28" spans="2:3" x14ac:dyDescent="0.25">
      <c r="B28" t="s">
        <v>94</v>
      </c>
      <c r="C28" s="1" t="s">
        <v>88</v>
      </c>
    </row>
    <row r="29" spans="2:3" x14ac:dyDescent="0.25">
      <c r="B29" t="s">
        <v>109</v>
      </c>
      <c r="C29" s="21" t="s">
        <v>90</v>
      </c>
    </row>
    <row r="30" spans="2:3" x14ac:dyDescent="0.25">
      <c r="B30" t="s">
        <v>100</v>
      </c>
      <c r="C30" s="21" t="s">
        <v>90</v>
      </c>
    </row>
    <row r="31" spans="2:3" x14ac:dyDescent="0.25">
      <c r="B31" t="s">
        <v>73</v>
      </c>
      <c r="C31" s="1" t="s">
        <v>89</v>
      </c>
    </row>
    <row r="32" spans="2:3" x14ac:dyDescent="0.25">
      <c r="B32" t="s">
        <v>83</v>
      </c>
      <c r="C32" s="1" t="s">
        <v>88</v>
      </c>
    </row>
    <row r="33" spans="2:3" x14ac:dyDescent="0.25">
      <c r="B33" t="s">
        <v>78</v>
      </c>
      <c r="C33" s="1" t="s">
        <v>89</v>
      </c>
    </row>
  </sheetData>
  <sortState xmlns:xlrd2="http://schemas.microsoft.com/office/spreadsheetml/2017/richdata2" ref="B2:C33">
    <sortCondition ref="B2:B3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Records</vt:lpstr>
      <vt:lpstr>Categories</vt:lpstr>
      <vt:lpstr>LookupCategory</vt:lpstr>
      <vt:lpstr>Category</vt:lpstr>
      <vt:lpstr>Content</vt:lpstr>
      <vt:lpstr>Name</vt:lpstr>
      <vt:lpstr>Publisher</vt:lpstr>
      <vt:lpstr>Types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Crispy Crunch</dc:creator>
  <cp:keywords/>
  <dc:description/>
  <cp:lastModifiedBy>David Schwartz</cp:lastModifiedBy>
  <cp:revision/>
  <dcterms:created xsi:type="dcterms:W3CDTF">2022-08-28T07:26:26Z</dcterms:created>
  <dcterms:modified xsi:type="dcterms:W3CDTF">2022-09-25T05:57:39Z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794cfe-bef0-4584-8394-d05e7a778b77_Enabled">
    <vt:lpwstr>true</vt:lpwstr>
  </property>
  <property fmtid="{D5CDD505-2E9C-101B-9397-08002B2CF9AE}" pid="3" name="MSIP_Label_5d794cfe-bef0-4584-8394-d05e7a778b77_SetDate">
    <vt:lpwstr>2022-08-28T07:26:26Z</vt:lpwstr>
  </property>
  <property fmtid="{D5CDD505-2E9C-101B-9397-08002B2CF9AE}" pid="4" name="MSIP_Label_5d794cfe-bef0-4584-8394-d05e7a778b77_Method">
    <vt:lpwstr>Standard</vt:lpwstr>
  </property>
  <property fmtid="{D5CDD505-2E9C-101B-9397-08002B2CF9AE}" pid="5" name="MSIP_Label_5d794cfe-bef0-4584-8394-d05e7a778b77_Name">
    <vt:lpwstr>Q-P10 INTERNAL LABEL - Files and Emails</vt:lpwstr>
  </property>
  <property fmtid="{D5CDD505-2E9C-101B-9397-08002B2CF9AE}" pid="6" name="MSIP_Label_5d794cfe-bef0-4584-8394-d05e7a778b77_SiteId">
    <vt:lpwstr>61a3c4cb-f532-41c6-b0fd-d2ac6f6be9ee</vt:lpwstr>
  </property>
  <property fmtid="{D5CDD505-2E9C-101B-9397-08002B2CF9AE}" pid="7" name="MSIP_Label_5d794cfe-bef0-4584-8394-d05e7a778b77_ActionId">
    <vt:lpwstr>e77255c4-dfe5-452c-a3e7-07d5c8903844</vt:lpwstr>
  </property>
  <property fmtid="{D5CDD505-2E9C-101B-9397-08002B2CF9AE}" pid="8" name="MSIP_Label_5d794cfe-bef0-4584-8394-d05e7a778b77_ContentBits">
    <vt:lpwstr>1</vt:lpwstr>
  </property>
</Properties>
</file>